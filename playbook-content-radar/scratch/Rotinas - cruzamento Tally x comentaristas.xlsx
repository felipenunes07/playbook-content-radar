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scritos" sheetId="2" state="visible" r:id="rId2"/>
    <sheet name="Matches" sheetId="3" state="visible" r:id="rId3"/>
    <sheet name="Comentarios" sheetId="4" state="visible" r:id="rId4"/>
    <sheet name="Historico Tally" sheetId="5" state="visible" r:id="rId5"/>
    <sheet name="ICP" sheetId="6" state="visible" r:id="rId6"/>
    <sheet name="Enriquecer" sheetId="7" state="visible" r:id="rId7"/>
    <sheet name="Diagnost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F2A28"/>
      <sz val="9"/>
    </font>
    <font>
      <name val="Arial"/>
      <b val="1"/>
      <color rgb="001F2A28"/>
      <sz val="15"/>
    </font>
    <font>
      <name val="Arial"/>
      <i val="1"/>
      <color rgb="005C6B66"/>
      <sz val="9"/>
    </font>
    <font>
      <name val="Arial"/>
      <b val="1"/>
      <color rgb="000F6E62"/>
      <sz val="10"/>
    </font>
    <font>
      <name val="Arial"/>
      <color rgb="001F2A28"/>
      <sz val="10"/>
    </font>
    <font>
      <name val="Arial"/>
      <b val="1"/>
      <color rgb="001F2A28"/>
      <sz val="11"/>
    </font>
    <font>
      <name val="Arial"/>
      <color rgb="005C6B66"/>
      <sz val="9"/>
    </font>
    <font>
      <name val="Arial"/>
      <b val="1"/>
      <color rgb="009E5714"/>
      <sz val="10"/>
    </font>
    <font>
      <name val="Arial"/>
      <b val="1"/>
      <color rgb="001F2A28"/>
      <sz val="14"/>
    </font>
  </fonts>
  <fills count="7">
    <fill>
      <patternFill/>
    </fill>
    <fill>
      <patternFill patternType="gray125"/>
    </fill>
    <fill>
      <patternFill patternType="solid">
        <fgColor rgb="000F6E62"/>
      </patternFill>
    </fill>
    <fill>
      <patternFill patternType="solid">
        <fgColor rgb="00E2EEEB"/>
      </patternFill>
    </fill>
    <fill>
      <patternFill patternType="solid">
        <fgColor rgb="00FBECD9"/>
      </patternFill>
    </fill>
    <fill>
      <patternFill patternType="solid">
        <fgColor rgb="00EFEFE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6DCD8"/>
      </left>
      <right style="thin">
        <color rgb="00D6DCD8"/>
      </right>
      <top style="thin">
        <color rgb="00D6DCD8"/>
      </top>
      <bottom style="thin">
        <color rgb="00D6DCD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2" fontId="2" fillId="5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0" pivotButton="0" quotePrefix="0" xfId="0"/>
    <xf numFmtId="0" fontId="6" fillId="0" borderId="1" pivotButton="0" quotePrefix="0" xfId="0"/>
    <xf numFmtId="1" fontId="7" fillId="0" borderId="1" applyAlignment="1" pivotButton="0" quotePrefix="0" xfId="0">
      <alignment horizontal="center"/>
    </xf>
    <xf numFmtId="0" fontId="8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Inscritos" displayName="Inscritos" ref="A1:AR56" headerRowCount="1">
  <autoFilter ref="A1:AR56"/>
  <tableColumns count="44">
    <tableColumn id="1" name="Classificacao"/>
    <tableColumn id="2" name="Ja era audiencia?"/>
    <tableColumn id="3" name="Nome (Tally)"/>
    <tableColumn id="4" name="Primeiro nome"/>
    <tableColumn id="5" name="Sobrenome"/>
    <tableColumn id="6" name="E-mail"/>
    <tableColumn id="7" name="Corporativo"/>
    <tableColumn id="8" name="Dominio"/>
    <tableColumn id="9" name="Telefone"/>
    <tableColumn id="10" name="Inscrito em"/>
    <tableColumn id="11" name="Inscricoes neste form"/>
    <tableColumn id="12" name="Match"/>
    <tableColumn id="13" name="Metodo do match"/>
    <tableColumn id="14" name="Confianca"/>
    <tableColumn id="15" name="Evidencia"/>
    <tableColumn id="16" name="Leads candidatos"/>
    <tableColumn id="17" name="LinkedIn"/>
    <tableColumn id="18" name="Nome no LinkedIn"/>
    <tableColumn id="19" name="Cargo / headline"/>
    <tableColumn id="20" name="Senioridade"/>
    <tableColumn id="21" name="Area"/>
    <tableColumn id="22" name="Empresa"/>
    <tableColumn id="23" name="Funcionarios"/>
    <tableColumn id="24" name="Industria"/>
    <tableColumn id="25" name="Cidade"/>
    <tableColumn id="26" name="Estado"/>
    <tableColumn id="27" name="Pais"/>
    <tableColumn id="28" name="ICP hoje"/>
    <tableColumn id="29" name="Score ICP"/>
    <tableColumn id="30" name="Motivo do ICP"/>
    <tableColumn id="31" name="Comentarios"/>
    <tableColumn id="32" name="1o comentario"/>
    <tableColumn id="33" name="Ultimo comentario"/>
    <tableColumn id="34" name="Posts comentados"/>
    <tableColumn id="35" name="CTAs que respondeu"/>
    <tableColumn id="36" name="Outros lead magnets"/>
    <tableColumn id="37" name="Quais lead magnets"/>
    <tableColumn id="38" name="Primeiro contato"/>
    <tableColumn id="39" name="Dias na base"/>
    <tableColumn id="40" name="Prospectado"/>
    <tableColumn id="41" name="Canal"/>
    <tableColumn id="42" name="Data do outreach"/>
    <tableColumn id="43" name="Agendou reuniao"/>
    <tableColumn id="44" name="Telefone ja registrado"/>
  </tableColumns>
  <tableStyleInfo name="TableStyleLight1" showRowStripes="1"/>
</table>
</file>

<file path=xl/tables/table2.xml><?xml version="1.0" encoding="utf-8"?>
<table xmlns="http://schemas.openxmlformats.org/spreadsheetml/2006/main" id="2" name="Matches" displayName="Matches" ref="A1:T18" headerRowCount="1">
  <autoFilter ref="A1:T18"/>
  <tableColumns count="20">
    <tableColumn id="1" name="Status"/>
    <tableColumn id="2" name="Metodo"/>
    <tableColumn id="3" name="Confianca"/>
    <tableColumn id="4" name="Evidencia"/>
    <tableColumn id="5" name="Candidato"/>
    <tableColumn id="6" name="de"/>
    <tableColumn id="7" name="Tipo de nome"/>
    <tableColumn id="8" name="Nome (Tally)"/>
    <tableColumn id="9" name="E-mail"/>
    <tableColumn id="10" name="Telefone"/>
    <tableColumn id="11" name="Inscrito em"/>
    <tableColumn id="12" name="Nome no LinkedIn"/>
    <tableColumn id="13" name="LinkedIn"/>
    <tableColumn id="14" name="Cargo"/>
    <tableColumn id="15" name="Empresa"/>
    <tableColumn id="16" name="Funcionarios"/>
    <tableColumn id="17" name="ICP"/>
    <tableColumn id="18" name="Score"/>
    <tableColumn id="19" name="Comentarios"/>
    <tableColumn id="20" name="Posts comentados"/>
  </tableColumns>
  <tableStyleInfo name="TableStyleLight1" showRowStripes="1"/>
</table>
</file>

<file path=xl/tables/table3.xml><?xml version="1.0" encoding="utf-8"?>
<table xmlns="http://schemas.openxmlformats.org/spreadsheetml/2006/main" id="3" name="Comentarios" displayName="Comentarios" ref="A1:J26" headerRowCount="1">
  <autoFilter ref="A1:J26"/>
  <tableColumns count="10">
    <tableColumn id="1" name="Nome no LinkedIn"/>
    <tableColumn id="2" name="Match"/>
    <tableColumn id="3" name="Cargo"/>
    <tableColumn id="4" name="Empresa"/>
    <tableColumn id="5" name="Comentou em"/>
    <tableColumn id="6" name="Post de"/>
    <tableColumn id="7" name="Autor do post"/>
    <tableColumn id="8" name="CTA do post"/>
    <tableColumn id="9" name="Gancho do post"/>
    <tableColumn id="10" name="O que comentou"/>
  </tableColumns>
  <tableStyleInfo name="TableStyleLight1" showRowStripes="1"/>
</table>
</file>

<file path=xl/tables/table4.xml><?xml version="1.0" encoding="utf-8"?>
<table xmlns="http://schemas.openxmlformats.org/spreadsheetml/2006/main" id="4" name="HistoricoTally" displayName="HistoricoTally" ref="A1:G30" headerRowCount="1">
  <autoFilter ref="A1:G30"/>
  <tableColumns count="7">
    <tableColumn id="1" name="Nome (Tally)"/>
    <tableColumn id="2" name="E-mail"/>
    <tableColumn id="3" name="Ja era audiencia?"/>
    <tableColumn id="4" name="Lead magnet baixado antes"/>
    <tableColumn id="5" name="Form ID"/>
    <tableColumn id="6" name="Baixado em"/>
    <tableColumn id="7" name="Telefone naquele form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2" customWidth="1" min="3" max="3"/>
  </cols>
  <sheetData>
    <row r="1">
      <c r="A1" s="1" t="inlineStr">
        <is>
          <t>Cruzamento: Tally "5 ROTINAS PARA AUTOMATIZAR SUA OPERACAO" x base de conteudo</t>
        </is>
      </c>
    </row>
    <row r="2">
      <c r="A2" s="2" t="inlineStr">
        <is>
          <t>Formulario xX8rVJ | dados lidos do Supabase xcihctupmfawtawbzwvm em 2026-08-26 15:22 | leitura apenas</t>
        </is>
      </c>
    </row>
    <row r="4">
      <c r="A4" s="3" t="inlineStr">
        <is>
          <t>A ORIGEM</t>
        </is>
      </c>
      <c r="B4" s="4" t="n"/>
      <c r="C4" s="4" t="n"/>
    </row>
    <row r="5">
      <c r="A5" s="5" t="inlineStr">
        <is>
          <t>Inscricoes no formulario</t>
        </is>
      </c>
      <c r="B5" s="6">
        <f>COUNTA(Inscritos!$F$2:$F$56)</f>
        <v/>
      </c>
      <c r="C5" s="7" t="inlineStr">
        <is>
          <t>Uma linha por submissao unica de e-mail; duplicatas do mesmo e-mail foram agrupadas.</t>
        </is>
      </c>
    </row>
    <row r="6">
      <c r="A6" s="5" t="inlineStr">
        <is>
          <t>Pessoas reais</t>
        </is>
      </c>
      <c r="B6" s="6">
        <f>COUNTIFS(Inscritos!$A$2:$A$56,"Real")</f>
        <v/>
      </c>
      <c r="C6" s="7" t="inlineStr">
        <is>
          <t>Exclui 2 linhas de lixo (ASDF, Teste) e 2 inscricoes de teste interno.</t>
        </is>
      </c>
    </row>
    <row r="7">
      <c r="A7" s="5" t="inlineStr">
        <is>
          <t>Com telefone</t>
        </is>
      </c>
      <c r="B7" s="6">
        <f>COUNTIFS(Inscritos!$A$2:$A$56,"Real",Inscritos!$I$2:$I$56,"+*")</f>
        <v/>
      </c>
      <c r="C7" s="7" t="inlineStr">
        <is>
          <t>Este formulario coleta telefone - todas as inscricoes vieram com numero.</t>
        </is>
      </c>
    </row>
    <row r="8">
      <c r="A8" s="5" t="inlineStr">
        <is>
          <t>Com e-mail corporativo</t>
        </is>
      </c>
      <c r="B8" s="6">
        <f>COUNTIFS(Inscritos!$A$2:$A$56,"Real",Inscritos!$G$2:$G$56,"sim")</f>
        <v/>
      </c>
      <c r="C8" s="7" t="inlineStr">
        <is>
          <t>Dominio proprio: da a empresa mesmo sem perfil de LinkedIn.</t>
        </is>
      </c>
    </row>
    <row r="9">
      <c r="A9" s="5" t="inlineStr"/>
      <c r="B9" s="6" t="inlineStr"/>
      <c r="C9" s="7" t="inlineStr"/>
    </row>
    <row r="10">
      <c r="A10" s="3" t="inlineStr">
        <is>
          <t>JA ERAM NOSSA AUDIENCIA</t>
        </is>
      </c>
      <c r="B10" s="4" t="n"/>
      <c r="C10" s="4" t="n"/>
    </row>
    <row r="11">
      <c r="A11" s="5" t="inlineStr">
        <is>
          <t>Comentaram em post nosso</t>
        </is>
      </c>
      <c r="B11" s="6">
        <f>COUNTIFS(Inscritos!$A$2:$A$56,"Real",Inscritos!$B$2:$B$56,"Comentou em post")</f>
        <v/>
      </c>
      <c r="C11" s="7" t="inlineStr">
        <is>
          <t>Cruzado por nome contra 3.249 comentarios coletados de 254 posts.</t>
        </is>
      </c>
    </row>
    <row r="12">
      <c r="A12" s="5" t="inlineStr">
        <is>
          <t xml:space="preserve">  dos quais confirmados</t>
        </is>
      </c>
      <c r="B12" s="6">
        <f>COUNTIFS(Inscritos!$A$2:$A$56,"Real",Inscritos!$L$2:$L$56,"MATCHED")</f>
        <v/>
      </c>
      <c r="C12" s="7" t="inlineStr">
        <is>
          <t>Nome exato + especificidade ou dominio de e-mail batendo com a empresa.</t>
        </is>
      </c>
    </row>
    <row r="13">
      <c r="A13" s="5" t="inlineStr">
        <is>
          <t xml:space="preserve">  dos quais a revisar</t>
        </is>
      </c>
      <c r="B13" s="6">
        <f>COUNTIFS(Inscritos!$A$2:$A$56,"Real",Inscritos!$L$2:$L$56,"REVIEW")</f>
        <v/>
      </c>
      <c r="C13" s="7" t="inlineStr">
        <is>
          <t>Nome bate mas falta evidencia independente. Nao afirmar sem conferir.</t>
        </is>
      </c>
    </row>
    <row r="14">
      <c r="A14" s="5" t="inlineStr">
        <is>
          <t>Baixaram outro lead magnet</t>
        </is>
      </c>
      <c r="B14" s="6">
        <f>COUNTIFS(Inscritos!$A$2:$A$56,"Real",Inscritos!$B$2:$B$56,"Baixou outro lead magnet")</f>
        <v/>
      </c>
      <c r="C14" s="7" t="inlineStr">
        <is>
          <t>E-mail ja estava na base do Tally, mas nunca comentou.</t>
        </is>
      </c>
    </row>
    <row r="15">
      <c r="A15" s="5" t="inlineStr">
        <is>
          <t>Audiencia nova</t>
        </is>
      </c>
      <c r="B15" s="6">
        <f>COUNTIFS(Inscritos!$A$2:$A$56,"Real",Inscritos!$B$2:$B$56,"Novo")</f>
        <v/>
      </c>
      <c r="C15" s="7" t="inlineStr">
        <is>
          <t>Nem comentario, nem download anterior.</t>
        </is>
      </c>
    </row>
    <row r="16">
      <c r="A16" s="5" t="inlineStr"/>
      <c r="B16" s="6" t="inlineStr"/>
      <c r="C16" s="7" t="inlineStr"/>
    </row>
    <row r="17">
      <c r="A17" s="3" t="inlineStr">
        <is>
          <t>O QUE ESSE GRUPO PARECE</t>
        </is>
      </c>
      <c r="B17" s="4" t="n"/>
      <c r="C17" s="4" t="n"/>
    </row>
    <row r="18">
      <c r="A18" s="5" t="inlineStr">
        <is>
          <t>Media de funcionarios (casados)</t>
        </is>
      </c>
      <c r="B18" s="6">
        <f>IFERROR(AVERAGEIFS(Inscritos!$W$2:$W$56,Inscritos!$A$2:$A$56,"Real",Inscritos!$W$2:$W$56,"&gt;0"),"-")</f>
        <v/>
      </c>
      <c r="C18" s="7" t="inlineStr">
        <is>
          <t>Puxada pelas tres contas grandes; a mediana esta muito abaixo.</t>
        </is>
      </c>
    </row>
    <row r="19">
      <c r="A19" s="5" t="inlineStr">
        <is>
          <t>Qualified pelo score atual</t>
        </is>
      </c>
      <c r="B19" s="6">
        <f>COUNTIFS(Inscritos!$A$2:$A$56,"Real",Inscritos!$AB$2:$AB$56,"qualified")</f>
        <v/>
      </c>
      <c r="C19" s="7" t="inlineStr">
        <is>
          <t>Score que o pipeline de prospeccao usa hoje.</t>
        </is>
      </c>
    </row>
    <row r="20">
      <c r="A20" s="5" t="inlineStr">
        <is>
          <t>Disqualified pelo score atual</t>
        </is>
      </c>
      <c r="B20" s="6">
        <f>COUNTIFS(Inscritos!$A$2:$A$56,"Real",Inscritos!$AB$2:$AB$56,"disqualified")</f>
        <v/>
      </c>
      <c r="C20" s="7" t="inlineStr">
        <is>
          <t>Inclui quase todos os mais engajados - ver aba ICP.</t>
        </is>
      </c>
    </row>
    <row r="21">
      <c r="A21" s="5" t="inlineStr">
        <is>
          <t>Ja prospectados</t>
        </is>
      </c>
      <c r="B21" s="6">
        <f>COUNTIFS(Inscritos!$A$2:$A$56,"Real",Inscritos!$AN$2:$AN$56,"&lt;&gt;não")</f>
        <v/>
      </c>
      <c r="C21" s="7" t="inlineStr">
        <is>
          <t>Cruzado com lead_outreach (136 registros).</t>
        </is>
      </c>
    </row>
    <row r="22">
      <c r="A22" s="5" t="inlineStr">
        <is>
          <t>Agendaram reuniao</t>
        </is>
      </c>
      <c r="B22" s="6">
        <f>COUNTIFS(Inscritos!$A$2:$A$56,"Real",Inscritos!$AQ$2:$AQ$56,"&lt;&gt;não")</f>
        <v/>
      </c>
      <c r="C22" s="7" t="inlineStr">
        <is>
          <t>Cruzado com lead_magnet_bookings.</t>
        </is>
      </c>
    </row>
    <row r="24">
      <c r="A24" s="8" t="inlineStr">
        <is>
          <t>POR QUE O POST DE 25/08 NAO APARECE NA BASE</t>
        </is>
      </c>
      <c r="B24" s="9" t="n"/>
      <c r="C24" s="9" t="n"/>
    </row>
    <row r="25" ht="46" customHeight="1">
      <c r="A25" s="10" t="inlineStr">
        <is>
          <t>O credito da Apify acabou. O coletor de LinkedIn roda 09:30 UTC; em 25/08 rodou e funcionou, mas o post so subiu ~12:00 - passou depois da coleta. A rodada de 26/08, que pegaria o post, falhou: "you will exceed your remaining usage of $0.001342". Detalhe completo na aba Diagnostico.</t>
        </is>
      </c>
    </row>
  </sheetData>
  <mergeCells count="1"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14" customWidth="1" min="4" max="4"/>
    <col width="16" customWidth="1" min="5" max="5"/>
    <col width="34" customWidth="1" min="6" max="6"/>
    <col width="11" customWidth="1" min="7" max="7"/>
    <col width="24" customWidth="1" min="8" max="8"/>
    <col width="16" customWidth="1" min="9" max="9"/>
    <col width="17" customWidth="1" min="10" max="10"/>
    <col width="9" customWidth="1" min="11" max="11"/>
    <col width="17" customWidth="1" min="12" max="12"/>
    <col width="24" customWidth="1" min="13" max="13"/>
    <col width="10" customWidth="1" min="14" max="14"/>
    <col width="26" customWidth="1" min="15" max="15"/>
    <col width="9" customWidth="1" min="16" max="16"/>
    <col width="42" customWidth="1" min="17" max="17"/>
    <col width="24" customWidth="1" min="18" max="18"/>
    <col width="40" customWidth="1" min="19" max="19"/>
    <col width="13" customWidth="1" min="20" max="20"/>
    <col width="13" customWidth="1" min="21" max="21"/>
    <col width="26" customWidth="1" min="22" max="22"/>
    <col width="12" customWidth="1" min="23" max="23"/>
    <col width="26" customWidth="1" min="24" max="24"/>
    <col width="16" customWidth="1" min="25" max="25"/>
    <col width="14" customWidth="1" min="26" max="26"/>
    <col width="12" customWidth="1" min="27" max="27"/>
    <col width="13" customWidth="1" min="28" max="28"/>
    <col width="10" customWidth="1" min="29" max="29"/>
    <col width="46" customWidth="1" min="30" max="30"/>
    <col width="12" customWidth="1" min="31" max="31"/>
    <col width="14" customWidth="1" min="32" max="32"/>
    <col width="16" customWidth="1" min="33" max="33"/>
    <col width="34" customWidth="1" min="34" max="34"/>
    <col width="18" customWidth="1" min="35" max="35"/>
    <col width="9" customWidth="1" min="36" max="36"/>
    <col width="44" customWidth="1" min="37" max="37"/>
    <col width="15" customWidth="1" min="38" max="38"/>
    <col width="12" customWidth="1" min="39" max="39"/>
    <col width="13" customWidth="1" min="40" max="40"/>
    <col width="12" customWidth="1" min="41" max="41"/>
    <col width="15" customWidth="1" min="42" max="42"/>
    <col width="22" customWidth="1" min="43" max="43"/>
    <col width="22" customWidth="1" min="44" max="44"/>
  </cols>
  <sheetData>
    <row r="1" ht="30" customHeight="1">
      <c r="A1" s="11" t="inlineStr">
        <is>
          <t>Classificacao</t>
        </is>
      </c>
      <c r="B1" s="11" t="inlineStr">
        <is>
          <t>Ja era audiencia?</t>
        </is>
      </c>
      <c r="C1" s="11" t="inlineStr">
        <is>
          <t>Nome (Tally)</t>
        </is>
      </c>
      <c r="D1" s="11" t="inlineStr">
        <is>
          <t>Primeiro nome</t>
        </is>
      </c>
      <c r="E1" s="11" t="inlineStr">
        <is>
          <t>Sobrenome</t>
        </is>
      </c>
      <c r="F1" s="11" t="inlineStr">
        <is>
          <t>E-mail</t>
        </is>
      </c>
      <c r="G1" s="11" t="inlineStr">
        <is>
          <t>Corporativo</t>
        </is>
      </c>
      <c r="H1" s="11" t="inlineStr">
        <is>
          <t>Dominio</t>
        </is>
      </c>
      <c r="I1" s="11" t="inlineStr">
        <is>
          <t>Telefone</t>
        </is>
      </c>
      <c r="J1" s="11" t="inlineStr">
        <is>
          <t>Inscrito em</t>
        </is>
      </c>
      <c r="K1" s="11" t="inlineStr">
        <is>
          <t>Inscricoes neste form</t>
        </is>
      </c>
      <c r="L1" s="11" t="inlineStr">
        <is>
          <t>Match</t>
        </is>
      </c>
      <c r="M1" s="11" t="inlineStr">
        <is>
          <t>Metodo do match</t>
        </is>
      </c>
      <c r="N1" s="11" t="inlineStr">
        <is>
          <t>Confianca</t>
        </is>
      </c>
      <c r="O1" s="11" t="inlineStr">
        <is>
          <t>Evidencia</t>
        </is>
      </c>
      <c r="P1" s="11" t="inlineStr">
        <is>
          <t>Leads candidatos</t>
        </is>
      </c>
      <c r="Q1" s="11" t="inlineStr">
        <is>
          <t>LinkedIn</t>
        </is>
      </c>
      <c r="R1" s="11" t="inlineStr">
        <is>
          <t>Nome no LinkedIn</t>
        </is>
      </c>
      <c r="S1" s="11" t="inlineStr">
        <is>
          <t>Cargo / headline</t>
        </is>
      </c>
      <c r="T1" s="11" t="inlineStr">
        <is>
          <t>Senioridade</t>
        </is>
      </c>
      <c r="U1" s="11" t="inlineStr">
        <is>
          <t>Area</t>
        </is>
      </c>
      <c r="V1" s="11" t="inlineStr">
        <is>
          <t>Empresa</t>
        </is>
      </c>
      <c r="W1" s="11" t="inlineStr">
        <is>
          <t>Funcionarios</t>
        </is>
      </c>
      <c r="X1" s="11" t="inlineStr">
        <is>
          <t>Industria</t>
        </is>
      </c>
      <c r="Y1" s="11" t="inlineStr">
        <is>
          <t>Cidade</t>
        </is>
      </c>
      <c r="Z1" s="11" t="inlineStr">
        <is>
          <t>Estado</t>
        </is>
      </c>
      <c r="AA1" s="11" t="inlineStr">
        <is>
          <t>Pais</t>
        </is>
      </c>
      <c r="AB1" s="11" t="inlineStr">
        <is>
          <t>ICP hoje</t>
        </is>
      </c>
      <c r="AC1" s="11" t="inlineStr">
        <is>
          <t>Score ICP</t>
        </is>
      </c>
      <c r="AD1" s="11" t="inlineStr">
        <is>
          <t>Motivo do ICP</t>
        </is>
      </c>
      <c r="AE1" s="11" t="inlineStr">
        <is>
          <t>Comentarios</t>
        </is>
      </c>
      <c r="AF1" s="11" t="inlineStr">
        <is>
          <t>1o comentario</t>
        </is>
      </c>
      <c r="AG1" s="11" t="inlineStr">
        <is>
          <t>Ultimo comentario</t>
        </is>
      </c>
      <c r="AH1" s="11" t="inlineStr">
        <is>
          <t>Posts comentados</t>
        </is>
      </c>
      <c r="AI1" s="11" t="inlineStr">
        <is>
          <t>CTAs que respondeu</t>
        </is>
      </c>
      <c r="AJ1" s="11" t="inlineStr">
        <is>
          <t>Outros lead magnets</t>
        </is>
      </c>
      <c r="AK1" s="11" t="inlineStr">
        <is>
          <t>Quais lead magnets</t>
        </is>
      </c>
      <c r="AL1" s="11" t="inlineStr">
        <is>
          <t>Primeiro contato</t>
        </is>
      </c>
      <c r="AM1" s="11" t="inlineStr">
        <is>
          <t>Dias na base</t>
        </is>
      </c>
      <c r="AN1" s="11" t="inlineStr">
        <is>
          <t>Prospectado</t>
        </is>
      </c>
      <c r="AO1" s="11" t="inlineStr">
        <is>
          <t>Canal</t>
        </is>
      </c>
      <c r="AP1" s="11" t="inlineStr">
        <is>
          <t>Data do outreach</t>
        </is>
      </c>
      <c r="AQ1" s="11" t="inlineStr">
        <is>
          <t>Agendou reuniao</t>
        </is>
      </c>
      <c r="AR1" s="11" t="inlineStr">
        <is>
          <t>Telefone ja registrado</t>
        </is>
      </c>
    </row>
    <row r="2">
      <c r="A2" s="12" t="inlineStr">
        <is>
          <t>Real</t>
        </is>
      </c>
      <c r="B2" s="12" t="inlineStr">
        <is>
          <t>Comentou em post</t>
        </is>
      </c>
      <c r="C2" s="13" t="inlineStr">
        <is>
          <t>André Soczek</t>
        </is>
      </c>
      <c r="D2" s="13" t="inlineStr">
        <is>
          <t>André</t>
        </is>
      </c>
      <c r="E2" s="13" t="inlineStr">
        <is>
          <t>Soczek</t>
        </is>
      </c>
      <c r="F2" s="13" t="inlineStr">
        <is>
          <t>andre@apartamentoscuritiba.com.br</t>
        </is>
      </c>
      <c r="G2" s="13" t="inlineStr">
        <is>
          <t>sim</t>
        </is>
      </c>
      <c r="H2" s="13" t="inlineStr">
        <is>
          <t>apartamentoscuritiba.com.br</t>
        </is>
      </c>
      <c r="I2" s="13" t="inlineStr">
        <is>
          <t>+5541995281092</t>
        </is>
      </c>
      <c r="J2" s="13" t="inlineStr">
        <is>
          <t>2026-08-25 12:52</t>
        </is>
      </c>
      <c r="K2" s="14" t="n">
        <v>1</v>
      </c>
      <c r="L2" s="12" t="inlineStr">
        <is>
          <t>MATCHED</t>
        </is>
      </c>
      <c r="M2" s="12" t="inlineStr">
        <is>
          <t>nome_exato+dominio_empresa</t>
        </is>
      </c>
      <c r="N2" s="15" t="n">
        <v>0.9399999999999999</v>
      </c>
      <c r="O2" s="13" t="inlineStr">
        <is>
          <t>dominio_empresa + apos_comentario</t>
        </is>
      </c>
      <c r="P2" s="14" t="n">
        <v>1</v>
      </c>
      <c r="Q2" s="13" t="inlineStr">
        <is>
          <t>https://www.linkedin.com/in/andre-soczek</t>
        </is>
      </c>
      <c r="R2" s="13" t="inlineStr">
        <is>
          <t>André Soczek</t>
        </is>
      </c>
      <c r="S2" s="13" t="inlineStr">
        <is>
          <t>Fundador</t>
        </is>
      </c>
      <c r="T2" s="13" t="inlineStr">
        <is>
          <t>c-level</t>
        </is>
      </c>
      <c r="U2" s="13" t="inlineStr">
        <is>
          <t>outro</t>
        </is>
      </c>
      <c r="V2" s="13" t="inlineStr">
        <is>
          <t>Apartamentos Curitiba</t>
        </is>
      </c>
      <c r="W2" s="14" t="n">
        <v>8</v>
      </c>
      <c r="X2" s="13" t="inlineStr">
        <is>
          <t>Real Estate</t>
        </is>
      </c>
      <c r="Y2" s="13" t="inlineStr"/>
      <c r="Z2" s="13" t="inlineStr"/>
      <c r="AA2" s="13" t="inlineStr"/>
      <c r="AB2" s="13" t="inlineStr">
        <is>
          <t>disqualified</t>
        </is>
      </c>
      <c r="AC2" s="14" t="n">
        <v>30</v>
      </c>
      <c r="AD2" s="13" t="inlineStr">
        <is>
          <t>A empresa tem apenas 8 colaboradores, o que não atende ao critério de porte mínimo.</t>
        </is>
      </c>
      <c r="AE2" s="14" t="n">
        <v>1</v>
      </c>
      <c r="AF2" s="13" t="inlineStr">
        <is>
          <t>2026-08-13</t>
        </is>
      </c>
      <c r="AG2" s="13" t="inlineStr">
        <is>
          <t>2026-08-13</t>
        </is>
      </c>
      <c r="AH2" s="13" t="inlineStr">
        <is>
          <t>2026-08-11 s/CTA</t>
        </is>
      </c>
      <c r="AI2" s="13" t="inlineStr"/>
      <c r="AJ2" s="14" t="n">
        <v>0</v>
      </c>
      <c r="AK2" s="13" t="inlineStr"/>
      <c r="AL2" s="13" t="inlineStr">
        <is>
          <t>2026-08-25</t>
        </is>
      </c>
      <c r="AM2" s="14" t="n">
        <v>0</v>
      </c>
      <c r="AN2" s="13" t="inlineStr">
        <is>
          <t>não</t>
        </is>
      </c>
      <c r="AO2" s="13" t="inlineStr"/>
      <c r="AP2" s="13" t="inlineStr"/>
      <c r="AQ2" s="13" t="inlineStr">
        <is>
          <t>não</t>
        </is>
      </c>
      <c r="AR2" s="13" t="inlineStr"/>
    </row>
    <row r="3">
      <c r="A3" s="12" t="inlineStr">
        <is>
          <t>Real</t>
        </is>
      </c>
      <c r="B3" s="12" t="inlineStr">
        <is>
          <t>Comentou em post</t>
        </is>
      </c>
      <c r="C3" s="13" t="inlineStr">
        <is>
          <t>Luan Garcia Hinkel</t>
        </is>
      </c>
      <c r="D3" s="13" t="inlineStr">
        <is>
          <t>Luan</t>
        </is>
      </c>
      <c r="E3" s="13" t="inlineStr">
        <is>
          <t>Garcia Hinkel</t>
        </is>
      </c>
      <c r="F3" s="13" t="inlineStr">
        <is>
          <t>luan.hinkel@newfold.com</t>
        </is>
      </c>
      <c r="G3" s="13" t="inlineStr">
        <is>
          <t>sim</t>
        </is>
      </c>
      <c r="H3" s="13" t="inlineStr">
        <is>
          <t>newfold.com</t>
        </is>
      </c>
      <c r="I3" s="13" t="inlineStr">
        <is>
          <t>+5548991996450</t>
        </is>
      </c>
      <c r="J3" s="13" t="inlineStr">
        <is>
          <t>2026-08-25 13:03</t>
        </is>
      </c>
      <c r="K3" s="14" t="n">
        <v>1</v>
      </c>
      <c r="L3" s="12" t="inlineStr">
        <is>
          <t>MATCHED</t>
        </is>
      </c>
      <c r="M3" s="12" t="inlineStr">
        <is>
          <t>nome_exato_especifico</t>
        </is>
      </c>
      <c r="N3" s="15" t="n">
        <v>0.85</v>
      </c>
      <c r="O3" s="13" t="inlineStr">
        <is>
          <t>apos_comentario</t>
        </is>
      </c>
      <c r="P3" s="14" t="n">
        <v>1</v>
      </c>
      <c r="Q3" s="13" t="inlineStr">
        <is>
          <t>https://www.linkedin.com/in/luanhinkel</t>
        </is>
      </c>
      <c r="R3" s="13" t="inlineStr">
        <is>
          <t>Luan Garcia Hinkel</t>
        </is>
      </c>
      <c r="S3" s="13" t="inlineStr">
        <is>
          <t>Sales Operations Junior</t>
        </is>
      </c>
      <c r="T3" s="13" t="inlineStr">
        <is>
          <t>operacional</t>
        </is>
      </c>
      <c r="U3" s="13" t="inlineStr">
        <is>
          <t>outro</t>
        </is>
      </c>
      <c r="V3" s="13" t="inlineStr">
        <is>
          <t>HostGator América Latina</t>
        </is>
      </c>
      <c r="W3" s="14" t="n">
        <v>316</v>
      </c>
      <c r="X3" s="13" t="inlineStr">
        <is>
          <t>Technology, Information and Internet</t>
        </is>
      </c>
      <c r="Y3" s="13" t="inlineStr"/>
      <c r="Z3" s="13" t="inlineStr"/>
      <c r="AA3" s="13" t="inlineStr"/>
      <c r="AB3" s="13" t="inlineStr">
        <is>
          <t>disqualified</t>
        </is>
      </c>
      <c r="AC3" s="14" t="n">
        <v>30</v>
      </c>
      <c r="AD3" s="13" t="inlineStr">
        <is>
          <t>O lead ocupa um cargo júnior e não se encaixa nos critérios de qualificação para a consultoria.</t>
        </is>
      </c>
      <c r="AE3" s="14" t="n">
        <v>2</v>
      </c>
      <c r="AF3" s="13" t="inlineStr">
        <is>
          <t>2026-07-29</t>
        </is>
      </c>
      <c r="AG3" s="13" t="inlineStr">
        <is>
          <t>2026-08-12</t>
        </is>
      </c>
      <c r="AH3" s="13" t="inlineStr">
        <is>
          <t>2026-07-29 OS | 2026-08-11 s/CTA</t>
        </is>
      </c>
      <c r="AI3" s="13" t="inlineStr">
        <is>
          <t>OS</t>
        </is>
      </c>
      <c r="AJ3" s="14" t="n">
        <v>0</v>
      </c>
      <c r="AK3" s="13" t="inlineStr"/>
      <c r="AL3" s="13" t="inlineStr">
        <is>
          <t>2026-08-25</t>
        </is>
      </c>
      <c r="AM3" s="14" t="n">
        <v>0</v>
      </c>
      <c r="AN3" s="13" t="inlineStr">
        <is>
          <t>não</t>
        </is>
      </c>
      <c r="AO3" s="13" t="inlineStr"/>
      <c r="AP3" s="13" t="inlineStr"/>
      <c r="AQ3" s="13" t="inlineStr">
        <is>
          <t>não</t>
        </is>
      </c>
      <c r="AR3" s="13" t="inlineStr"/>
    </row>
    <row r="4">
      <c r="A4" s="12" t="inlineStr">
        <is>
          <t>Real</t>
        </is>
      </c>
      <c r="B4" s="12" t="inlineStr">
        <is>
          <t>Comentou em post</t>
        </is>
      </c>
      <c r="C4" s="13" t="inlineStr">
        <is>
          <t>João Pedro Maya</t>
        </is>
      </c>
      <c r="D4" s="13" t="inlineStr">
        <is>
          <t>João Pedro</t>
        </is>
      </c>
      <c r="E4" s="13" t="inlineStr">
        <is>
          <t>Maya</t>
        </is>
      </c>
      <c r="F4" s="13" t="inlineStr">
        <is>
          <t>joao.pedro.maya@gmail.com</t>
        </is>
      </c>
      <c r="G4" s="13" t="inlineStr">
        <is>
          <t>não</t>
        </is>
      </c>
      <c r="H4" s="13" t="inlineStr">
        <is>
          <t>gmail.com</t>
        </is>
      </c>
      <c r="I4" s="13" t="inlineStr">
        <is>
          <t>+5521998522611</t>
        </is>
      </c>
      <c r="J4" s="13" t="inlineStr">
        <is>
          <t>2026-08-25 17:55</t>
        </is>
      </c>
      <c r="K4" s="14" t="n">
        <v>1</v>
      </c>
      <c r="L4" s="12" t="inlineStr">
        <is>
          <t>MATCHED</t>
        </is>
      </c>
      <c r="M4" s="12" t="inlineStr">
        <is>
          <t>nome_exato_especifico</t>
        </is>
      </c>
      <c r="N4" s="15" t="n">
        <v>0.85</v>
      </c>
      <c r="O4" s="13" t="inlineStr">
        <is>
          <t>apos_comentario</t>
        </is>
      </c>
      <c r="P4" s="14" t="n">
        <v>1</v>
      </c>
      <c r="Q4" s="13" t="inlineStr">
        <is>
          <t>https://www.linkedin.com/in/joao-pedro-maya</t>
        </is>
      </c>
      <c r="R4" s="13" t="inlineStr">
        <is>
          <t>João Pedro Maya</t>
        </is>
      </c>
      <c r="S4" s="13" t="inlineStr">
        <is>
          <t>Projetos | Reestruturação de processos | Operações | Trilingue</t>
        </is>
      </c>
      <c r="T4" s="13" t="inlineStr">
        <is>
          <t>desconhecido</t>
        </is>
      </c>
      <c r="U4" s="13" t="inlineStr">
        <is>
          <t>desconhecido</t>
        </is>
      </c>
      <c r="V4" s="13" t="inlineStr"/>
      <c r="W4" s="14" t="inlineStr"/>
      <c r="X4" s="13" t="inlineStr"/>
      <c r="Y4" s="13" t="inlineStr"/>
      <c r="Z4" s="13" t="inlineStr"/>
      <c r="AA4" s="13" t="inlineStr"/>
      <c r="AB4" s="13" t="inlineStr">
        <is>
          <t>disqualified</t>
        </is>
      </c>
      <c r="AC4" s="14" t="n">
        <v>0</v>
      </c>
      <c r="AD4" s="13" t="inlineStr">
        <is>
          <t>O lead está sem emprego atual, portanto não pode ser qualificado.</t>
        </is>
      </c>
      <c r="AE4" s="14" t="n">
        <v>1</v>
      </c>
      <c r="AF4" s="13" t="inlineStr">
        <is>
          <t>2026-08-12</t>
        </is>
      </c>
      <c r="AG4" s="13" t="inlineStr">
        <is>
          <t>2026-08-12</t>
        </is>
      </c>
      <c r="AH4" s="13" t="inlineStr">
        <is>
          <t>2026-08-11 s/CTA</t>
        </is>
      </c>
      <c r="AI4" s="13" t="inlineStr"/>
      <c r="AJ4" s="14" t="n">
        <v>0</v>
      </c>
      <c r="AK4" s="13" t="inlineStr"/>
      <c r="AL4" s="13" t="inlineStr">
        <is>
          <t>2026-08-25</t>
        </is>
      </c>
      <c r="AM4" s="14" t="n">
        <v>0</v>
      </c>
      <c r="AN4" s="13" t="inlineStr">
        <is>
          <t>não</t>
        </is>
      </c>
      <c r="AO4" s="13" t="inlineStr"/>
      <c r="AP4" s="13" t="inlineStr"/>
      <c r="AQ4" s="13" t="inlineStr">
        <is>
          <t>não</t>
        </is>
      </c>
      <c r="AR4" s="13" t="inlineStr"/>
    </row>
    <row r="5">
      <c r="A5" s="16" t="inlineStr">
        <is>
          <t>Real</t>
        </is>
      </c>
      <c r="B5" s="16" t="inlineStr">
        <is>
          <t>Comentou em post</t>
        </is>
      </c>
      <c r="C5" s="13" t="inlineStr">
        <is>
          <t>marina lemos</t>
        </is>
      </c>
      <c r="D5" s="13" t="inlineStr">
        <is>
          <t>marina</t>
        </is>
      </c>
      <c r="E5" s="13" t="inlineStr">
        <is>
          <t>lemos</t>
        </is>
      </c>
      <c r="F5" s="13" t="inlineStr">
        <is>
          <t>marinarlemos08@gmail.com</t>
        </is>
      </c>
      <c r="G5" s="13" t="inlineStr">
        <is>
          <t>não</t>
        </is>
      </c>
      <c r="H5" s="13" t="inlineStr">
        <is>
          <t>gmail.com</t>
        </is>
      </c>
      <c r="I5" s="13" t="inlineStr">
        <is>
          <t>+5548988191425</t>
        </is>
      </c>
      <c r="J5" s="13" t="inlineStr">
        <is>
          <t>2026-08-25 18:32</t>
        </is>
      </c>
      <c r="K5" s="14" t="n">
        <v>1</v>
      </c>
      <c r="L5" s="16" t="inlineStr">
        <is>
          <t>REVIEW</t>
        </is>
      </c>
      <c r="M5" s="16" t="inlineStr">
        <is>
          <t>nome_parcial</t>
        </is>
      </c>
      <c r="N5" s="17" t="n">
        <v>0.45</v>
      </c>
      <c r="O5" s="13" t="inlineStr">
        <is>
          <t>apos_comentario</t>
        </is>
      </c>
      <c r="P5" s="14" t="n">
        <v>1</v>
      </c>
      <c r="Q5" s="13" t="inlineStr">
        <is>
          <t>https://www.linkedin.com/in/marinarlemos</t>
        </is>
      </c>
      <c r="R5" s="13" t="inlineStr">
        <is>
          <t>Marina Rachewsky Lemos</t>
        </is>
      </c>
      <c r="S5" s="13" t="inlineStr">
        <is>
          <t>Embaixadora | Influenciadora</t>
        </is>
      </c>
      <c r="T5" s="13" t="inlineStr">
        <is>
          <t>gerencia</t>
        </is>
      </c>
      <c r="U5" s="13" t="inlineStr">
        <is>
          <t>vendas</t>
        </is>
      </c>
      <c r="V5" s="13" t="inlineStr">
        <is>
          <t>HubSpot</t>
        </is>
      </c>
      <c r="W5" s="14" t="n">
        <v>12235</v>
      </c>
      <c r="X5" s="13" t="inlineStr">
        <is>
          <t>Software Development</t>
        </is>
      </c>
      <c r="Y5" s="13" t="inlineStr"/>
      <c r="Z5" s="13" t="inlineStr"/>
      <c r="AA5" s="13" t="inlineStr"/>
      <c r="AB5" s="13" t="inlineStr">
        <is>
          <t>qualified</t>
        </is>
      </c>
      <c r="AC5" s="14" t="n">
        <v>95</v>
      </c>
      <c r="AD5" s="13" t="inlineStr">
        <is>
          <t>A lead possui vasta experiência em liderança e implementação de times e processos comerciais em grandes empresas B2B, e a empresa atual (HubSpot) é de grande porte, com o tema do post indicando uma dor clara em forecast de vendas.</t>
        </is>
      </c>
      <c r="AE5" s="14" t="n">
        <v>2</v>
      </c>
      <c r="AF5" s="13" t="inlineStr">
        <is>
          <t>2026-05-28</t>
        </is>
      </c>
      <c r="AG5" s="13" t="inlineStr">
        <is>
          <t>2026-07-29</t>
        </is>
      </c>
      <c r="AH5" s="13" t="inlineStr">
        <is>
          <t>2026-05-27 Sem CTA | 2026-07-29 OS</t>
        </is>
      </c>
      <c r="AI5" s="13" t="inlineStr">
        <is>
          <t>OS</t>
        </is>
      </c>
      <c r="AJ5" s="14" t="n">
        <v>1</v>
      </c>
      <c r="AK5" s="13" t="inlineStr">
        <is>
          <t>Acesse o grupo VIP da Comunidade Playbook Lab</t>
        </is>
      </c>
      <c r="AL5" s="13" t="inlineStr">
        <is>
          <t>2026-08-25</t>
        </is>
      </c>
      <c r="AM5" s="14" t="n">
        <v>0</v>
      </c>
      <c r="AN5" s="13" t="inlineStr">
        <is>
          <t>ignored</t>
        </is>
      </c>
      <c r="AO5" s="13" t="inlineStr">
        <is>
          <t>linkedin</t>
        </is>
      </c>
      <c r="AP5" s="13" t="inlineStr">
        <is>
          <t>2026-07-05</t>
        </is>
      </c>
      <c r="AQ5" s="13" t="inlineStr">
        <is>
          <t>não</t>
        </is>
      </c>
      <c r="AR5" s="13" t="inlineStr">
        <is>
          <t>REVIEW</t>
        </is>
      </c>
    </row>
    <row r="6">
      <c r="A6" s="16" t="inlineStr">
        <is>
          <t>Real</t>
        </is>
      </c>
      <c r="B6" s="16" t="inlineStr">
        <is>
          <t>Comentou em post</t>
        </is>
      </c>
      <c r="C6" s="13" t="inlineStr">
        <is>
          <t>Rodrigo Nascimento</t>
        </is>
      </c>
      <c r="D6" s="13" t="inlineStr">
        <is>
          <t>Rodrigo</t>
        </is>
      </c>
      <c r="E6" s="13" t="inlineStr">
        <is>
          <t>Nascimento</t>
        </is>
      </c>
      <c r="F6" s="13" t="inlineStr">
        <is>
          <t>rodrigo.nsc@gmail.com</t>
        </is>
      </c>
      <c r="G6" s="13" t="inlineStr">
        <is>
          <t>não</t>
        </is>
      </c>
      <c r="H6" s="13" t="inlineStr">
        <is>
          <t>gmail.com</t>
        </is>
      </c>
      <c r="I6" s="13" t="inlineStr">
        <is>
          <t>+5548988250523</t>
        </is>
      </c>
      <c r="J6" s="13" t="inlineStr">
        <is>
          <t>2026-08-25 12:49</t>
        </is>
      </c>
      <c r="K6" s="14" t="n">
        <v>1</v>
      </c>
      <c r="L6" s="16" t="inlineStr">
        <is>
          <t>REVIEW</t>
        </is>
      </c>
      <c r="M6" s="16" t="inlineStr">
        <is>
          <t>nome_exato_generico</t>
        </is>
      </c>
      <c r="N6" s="17" t="n">
        <v>0.6</v>
      </c>
      <c r="O6" s="13" t="inlineStr">
        <is>
          <t>apos_comentario</t>
        </is>
      </c>
      <c r="P6" s="14" t="n">
        <v>1</v>
      </c>
      <c r="Q6" s="13" t="inlineStr">
        <is>
          <t>https://www.linkedin.com/in/rodrigonsc</t>
        </is>
      </c>
      <c r="R6" s="13" t="inlineStr">
        <is>
          <t>Rodrigo Nascimento</t>
        </is>
      </c>
      <c r="S6" s="13" t="inlineStr">
        <is>
          <t>Head Comercial | Head de Produto · SaaS · RevOps · Go-to-Market · Pré-vendas · IA aplicada a Vendas</t>
        </is>
      </c>
      <c r="T6" s="13" t="inlineStr">
        <is>
          <t>desconhecido</t>
        </is>
      </c>
      <c r="U6" s="13" t="inlineStr">
        <is>
          <t>desconhecido</t>
        </is>
      </c>
      <c r="V6" s="13" t="inlineStr">
        <is>
          <t>Keeta</t>
        </is>
      </c>
      <c r="W6" s="14" t="n">
        <v>6638</v>
      </c>
      <c r="X6" s="13" t="inlineStr">
        <is>
          <t>Software Development</t>
        </is>
      </c>
      <c r="Y6" s="13" t="inlineStr"/>
      <c r="Z6" s="13" t="inlineStr"/>
      <c r="AA6" s="13" t="inlineStr"/>
      <c r="AB6" s="13" t="inlineStr">
        <is>
          <t>qualified</t>
        </is>
      </c>
      <c r="AC6" s="14" t="n">
        <v>55</v>
      </c>
      <c r="AD6" s="13" t="inlineStr">
        <is>
          <t>Migrado da revisão (17/08): decisor comercial em empresa 200+ rejeitado por glitch (empresa atual não veio no scrape) — VERIFICAR vínculo atual. Motivo original: O lead está sem emprego atual, portanto não pode ser qualificado.</t>
        </is>
      </c>
      <c r="AE6" s="14" t="n">
        <v>2</v>
      </c>
      <c r="AF6" s="13" t="inlineStr">
        <is>
          <t>2026-07-29</t>
        </is>
      </c>
      <c r="AG6" s="13" t="inlineStr">
        <is>
          <t>2026-08-12</t>
        </is>
      </c>
      <c r="AH6" s="13" t="inlineStr">
        <is>
          <t>2026-07-29 OS | 2026-08-11 s/CTA</t>
        </is>
      </c>
      <c r="AI6" s="13" t="inlineStr">
        <is>
          <t>OS</t>
        </is>
      </c>
      <c r="AJ6" s="14" t="n">
        <v>0</v>
      </c>
      <c r="AK6" s="13" t="inlineStr"/>
      <c r="AL6" s="13" t="inlineStr">
        <is>
          <t>2026-08-25</t>
        </is>
      </c>
      <c r="AM6" s="14" t="n">
        <v>0</v>
      </c>
      <c r="AN6" s="13" t="inlineStr">
        <is>
          <t>não</t>
        </is>
      </c>
      <c r="AO6" s="13" t="inlineStr"/>
      <c r="AP6" s="13" t="inlineStr"/>
      <c r="AQ6" s="13" t="inlineStr">
        <is>
          <t>não</t>
        </is>
      </c>
      <c r="AR6" s="13" t="inlineStr">
        <is>
          <t>REVIEW</t>
        </is>
      </c>
    </row>
    <row r="7">
      <c r="A7" s="16" t="inlineStr">
        <is>
          <t>Real</t>
        </is>
      </c>
      <c r="B7" s="16" t="inlineStr">
        <is>
          <t>Comentou em post</t>
        </is>
      </c>
      <c r="C7" s="13" t="inlineStr">
        <is>
          <t>Celio Andrade</t>
        </is>
      </c>
      <c r="D7" s="13" t="inlineStr">
        <is>
          <t>Celio</t>
        </is>
      </c>
      <c r="E7" s="13" t="inlineStr">
        <is>
          <t>Andrade</t>
        </is>
      </c>
      <c r="F7" s="13" t="inlineStr">
        <is>
          <t>cmilodeandrade@gmail.com</t>
        </is>
      </c>
      <c r="G7" s="13" t="inlineStr">
        <is>
          <t>não</t>
        </is>
      </c>
      <c r="H7" s="13" t="inlineStr">
        <is>
          <t>gmail.com</t>
        </is>
      </c>
      <c r="I7" s="13" t="inlineStr">
        <is>
          <t>+5547996342583</t>
        </is>
      </c>
      <c r="J7" s="13" t="inlineStr">
        <is>
          <t>2026-08-25 12:57</t>
        </is>
      </c>
      <c r="K7" s="14" t="n">
        <v>1</v>
      </c>
      <c r="L7" s="16" t="inlineStr">
        <is>
          <t>REVIEW</t>
        </is>
      </c>
      <c r="M7" s="16" t="inlineStr">
        <is>
          <t>nome_parcial</t>
        </is>
      </c>
      <c r="N7" s="17" t="n">
        <v>0.45</v>
      </c>
      <c r="O7" s="13" t="inlineStr">
        <is>
          <t>apos_comentario</t>
        </is>
      </c>
      <c r="P7" s="14" t="n">
        <v>1</v>
      </c>
      <c r="Q7" s="13" t="inlineStr">
        <is>
          <t>https://www.linkedin.com/in/celio-milo-de-andrade-96644973</t>
        </is>
      </c>
      <c r="R7" s="13" t="inlineStr">
        <is>
          <t>Celio Milo de Andrade</t>
        </is>
      </c>
      <c r="S7" s="13" t="inlineStr">
        <is>
          <t>Coordenador de licitações</t>
        </is>
      </c>
      <c r="T7" s="13" t="inlineStr">
        <is>
          <t>coordenacao</t>
        </is>
      </c>
      <c r="U7" s="13" t="inlineStr">
        <is>
          <t>outro</t>
        </is>
      </c>
      <c r="V7" s="13" t="inlineStr">
        <is>
          <t>Cantu Inc</t>
        </is>
      </c>
      <c r="W7" s="14" t="n">
        <v>1658</v>
      </c>
      <c r="X7" s="13" t="inlineStr">
        <is>
          <t>Retail</t>
        </is>
      </c>
      <c r="Y7" s="13" t="inlineStr"/>
      <c r="Z7" s="13" t="inlineStr"/>
      <c r="AA7" s="13" t="inlineStr"/>
      <c r="AB7" s="13" t="inlineStr">
        <is>
          <t>disqualified</t>
        </is>
      </c>
      <c r="AC7" s="14" t="n">
        <v>45</v>
      </c>
      <c r="AD7" s="13" t="inlineStr">
        <is>
          <t>O lead ocupa um cargo de coordenação em uma área que não se alinha com as áreas de interesse da Playbook Lab e não está em um setor de vendas ou tecnologia.</t>
        </is>
      </c>
      <c r="AE7" s="14" t="n">
        <v>1</v>
      </c>
      <c r="AF7" s="13" t="inlineStr">
        <is>
          <t>2026-07-30</t>
        </is>
      </c>
      <c r="AG7" s="13" t="inlineStr">
        <is>
          <t>2026-07-30</t>
        </is>
      </c>
      <c r="AH7" s="13" t="inlineStr">
        <is>
          <t>2026-07-29 OS</t>
        </is>
      </c>
      <c r="AI7" s="13" t="inlineStr">
        <is>
          <t>OS</t>
        </is>
      </c>
      <c r="AJ7" s="14" t="n">
        <v>2</v>
      </c>
      <c r="AK7" s="13" t="inlineStr">
        <is>
          <t>Claude para Pequenos Negócios | O Setup inicial do OS da sua empresa</t>
        </is>
      </c>
      <c r="AL7" s="13" t="inlineStr">
        <is>
          <t>2026-07-24</t>
        </is>
      </c>
      <c r="AM7" s="14" t="n">
        <v>32</v>
      </c>
      <c r="AN7" s="13" t="inlineStr">
        <is>
          <t>não</t>
        </is>
      </c>
      <c r="AO7" s="13" t="inlineStr"/>
      <c r="AP7" s="13" t="inlineStr"/>
      <c r="AQ7" s="13" t="inlineStr">
        <is>
          <t>não</t>
        </is>
      </c>
      <c r="AR7" s="13" t="inlineStr"/>
    </row>
    <row r="8">
      <c r="A8" s="16" t="inlineStr">
        <is>
          <t>Real</t>
        </is>
      </c>
      <c r="B8" s="16" t="inlineStr">
        <is>
          <t>Comentou em post</t>
        </is>
      </c>
      <c r="C8" s="13" t="inlineStr">
        <is>
          <t>Vinícius Silva</t>
        </is>
      </c>
      <c r="D8" s="13" t="inlineStr">
        <is>
          <t>Vinícius</t>
        </is>
      </c>
      <c r="E8" s="13" t="inlineStr">
        <is>
          <t>Silva</t>
        </is>
      </c>
      <c r="F8" s="13" t="inlineStr">
        <is>
          <t>viniciuscmx01@gmail.com</t>
        </is>
      </c>
      <c r="G8" s="13" t="inlineStr">
        <is>
          <t>não</t>
        </is>
      </c>
      <c r="H8" s="13" t="inlineStr">
        <is>
          <t>gmail.com</t>
        </is>
      </c>
      <c r="I8" s="13" t="inlineStr">
        <is>
          <t>+5521998939333</t>
        </is>
      </c>
      <c r="J8" s="13" t="inlineStr">
        <is>
          <t>2026-08-25 17:24</t>
        </is>
      </c>
      <c r="K8" s="14" t="n">
        <v>1</v>
      </c>
      <c r="L8" s="16" t="inlineStr">
        <is>
          <t>REVIEW</t>
        </is>
      </c>
      <c r="M8" s="16" t="inlineStr">
        <is>
          <t>nome_exato_generico</t>
        </is>
      </c>
      <c r="N8" s="17" t="n">
        <v>0.6</v>
      </c>
      <c r="O8" s="13" t="inlineStr">
        <is>
          <t>apos_comentario</t>
        </is>
      </c>
      <c r="P8" s="14" t="n">
        <v>1</v>
      </c>
      <c r="Q8" s="13" t="inlineStr">
        <is>
          <t>https://www.linkedin.com/in/theviniciusssilva</t>
        </is>
      </c>
      <c r="R8" s="13" t="inlineStr">
        <is>
          <t>Vinícius Silva</t>
        </is>
      </c>
      <c r="S8" s="13" t="inlineStr">
        <is>
          <t>Consultor &amp; Estrategista Digital</t>
        </is>
      </c>
      <c r="T8" s="13" t="inlineStr">
        <is>
          <t>desconhecido</t>
        </is>
      </c>
      <c r="U8" s="13" t="inlineStr">
        <is>
          <t>outro</t>
        </is>
      </c>
      <c r="V8" s="13" t="inlineStr">
        <is>
          <t>Aigle Aeternus Hub</t>
        </is>
      </c>
      <c r="W8" s="14" t="inlineStr"/>
      <c r="X8" s="13" t="inlineStr"/>
      <c r="Y8" s="13" t="inlineStr"/>
      <c r="Z8" s="13" t="inlineStr"/>
      <c r="AA8" s="13" t="inlineStr"/>
      <c r="AB8" s="13" t="inlineStr">
        <is>
          <t>disqualified</t>
        </is>
      </c>
      <c r="AC8" s="14" t="n">
        <v>45</v>
      </c>
      <c r="AD8" s="13" t="inlineStr">
        <is>
          <t>O lead é um consultor digital, mas não ocupa um cargo alto em uma empresa com mais de 200 colaboradores.</t>
        </is>
      </c>
      <c r="AE8" s="14" t="n">
        <v>4</v>
      </c>
      <c r="AF8" s="13" t="inlineStr">
        <is>
          <t>2026-07-03</t>
        </is>
      </c>
      <c r="AG8" s="13" t="inlineStr">
        <is>
          <t>2026-08-11</t>
        </is>
      </c>
      <c r="AH8" s="13" t="inlineStr">
        <is>
          <t>2026-07-03 FABLE | 2026-07-14 FLOW | 2026-07-29 OS | 2026-08-11 s/CTA</t>
        </is>
      </c>
      <c r="AI8" s="13" t="inlineStr">
        <is>
          <t>FABLE, FLOW, OS</t>
        </is>
      </c>
      <c r="AJ8" s="14" t="n">
        <v>0</v>
      </c>
      <c r="AK8" s="13" t="inlineStr"/>
      <c r="AL8" s="13" t="inlineStr">
        <is>
          <t>2026-08-25</t>
        </is>
      </c>
      <c r="AM8" s="14" t="n">
        <v>0</v>
      </c>
      <c r="AN8" s="13" t="inlineStr">
        <is>
          <t>não</t>
        </is>
      </c>
      <c r="AO8" s="13" t="inlineStr"/>
      <c r="AP8" s="13" t="inlineStr"/>
      <c r="AQ8" s="13" t="inlineStr">
        <is>
          <t>não</t>
        </is>
      </c>
      <c r="AR8" s="13" t="inlineStr"/>
    </row>
    <row r="9">
      <c r="A9" s="16" t="inlineStr">
        <is>
          <t>Real</t>
        </is>
      </c>
      <c r="B9" s="16" t="inlineStr">
        <is>
          <t>Comentou em post</t>
        </is>
      </c>
      <c r="C9" s="13" t="inlineStr">
        <is>
          <t>Eduardo Abreu</t>
        </is>
      </c>
      <c r="D9" s="13" t="inlineStr">
        <is>
          <t>Eduardo</t>
        </is>
      </c>
      <c r="E9" s="13" t="inlineStr">
        <is>
          <t>Abreu</t>
        </is>
      </c>
      <c r="F9" s="13" t="inlineStr">
        <is>
          <t>eduardo.abreu02@gmail.com</t>
        </is>
      </c>
      <c r="G9" s="13" t="inlineStr">
        <is>
          <t>não</t>
        </is>
      </c>
      <c r="H9" s="13" t="inlineStr">
        <is>
          <t>gmail.com</t>
        </is>
      </c>
      <c r="I9" s="13" t="inlineStr">
        <is>
          <t>+5511939402808</t>
        </is>
      </c>
      <c r="J9" s="13" t="inlineStr">
        <is>
          <t>2026-08-25 13:38</t>
        </is>
      </c>
      <c r="K9" s="14" t="n">
        <v>1</v>
      </c>
      <c r="L9" s="16" t="inlineStr">
        <is>
          <t>REVIEW</t>
        </is>
      </c>
      <c r="M9" s="16" t="inlineStr">
        <is>
          <t>nome_exato_generico</t>
        </is>
      </c>
      <c r="N9" s="17" t="n">
        <v>0.6</v>
      </c>
      <c r="O9" s="13" t="inlineStr">
        <is>
          <t>apos_comentario</t>
        </is>
      </c>
      <c r="P9" s="14" t="n">
        <v>1</v>
      </c>
      <c r="Q9" s="13" t="inlineStr">
        <is>
          <t>https://www.linkedin.com/in/eduardo-abreu-comercial</t>
        </is>
      </c>
      <c r="R9" s="13" t="inlineStr">
        <is>
          <t>Eduardo Abreu</t>
        </is>
      </c>
      <c r="S9" s="13" t="inlineStr">
        <is>
          <t>Executivo de contas</t>
        </is>
      </c>
      <c r="T9" s="13" t="inlineStr">
        <is>
          <t>desconhecido</t>
        </is>
      </c>
      <c r="U9" s="13" t="inlineStr">
        <is>
          <t>vendas</t>
        </is>
      </c>
      <c r="V9" s="13" t="inlineStr">
        <is>
          <t>Business Innovation Ltda</t>
        </is>
      </c>
      <c r="W9" s="14" t="inlineStr"/>
      <c r="X9" s="13" t="inlineStr"/>
      <c r="Y9" s="13" t="inlineStr"/>
      <c r="Z9" s="13" t="inlineStr"/>
      <c r="AA9" s="13" t="inlineStr"/>
      <c r="AB9" s="13" t="inlineStr">
        <is>
          <t>disqualified</t>
        </is>
      </c>
      <c r="AC9" s="14" t="n">
        <v>40</v>
      </c>
      <c r="AD9" s="13" t="inlineStr">
        <is>
          <t>O cargo de Executivo de Contas não é considerado uma posição de liderança com poder de decisão de compra.</t>
        </is>
      </c>
      <c r="AE9" s="14" t="n">
        <v>1</v>
      </c>
      <c r="AF9" s="13" t="inlineStr">
        <is>
          <t>2026-08-12</t>
        </is>
      </c>
      <c r="AG9" s="13" t="inlineStr">
        <is>
          <t>2026-08-12</t>
        </is>
      </c>
      <c r="AH9" s="13" t="inlineStr">
        <is>
          <t>2026-08-11 s/CTA</t>
        </is>
      </c>
      <c r="AI9" s="13" t="inlineStr"/>
      <c r="AJ9" s="14" t="n">
        <v>0</v>
      </c>
      <c r="AK9" s="13" t="inlineStr"/>
      <c r="AL9" s="13" t="inlineStr">
        <is>
          <t>2026-08-25</t>
        </is>
      </c>
      <c r="AM9" s="14" t="n">
        <v>0</v>
      </c>
      <c r="AN9" s="13" t="inlineStr">
        <is>
          <t>não</t>
        </is>
      </c>
      <c r="AO9" s="13" t="inlineStr"/>
      <c r="AP9" s="13" t="inlineStr"/>
      <c r="AQ9" s="13" t="inlineStr">
        <is>
          <t>não</t>
        </is>
      </c>
      <c r="AR9" s="13" t="inlineStr"/>
    </row>
    <row r="10">
      <c r="A10" s="16" t="inlineStr">
        <is>
          <t>Real</t>
        </is>
      </c>
      <c r="B10" s="16" t="inlineStr">
        <is>
          <t>Comentou em post</t>
        </is>
      </c>
      <c r="C10" s="13" t="inlineStr">
        <is>
          <t>Cíntia Fonseca</t>
        </is>
      </c>
      <c r="D10" s="13" t="inlineStr">
        <is>
          <t>Cíntia</t>
        </is>
      </c>
      <c r="E10" s="13" t="inlineStr">
        <is>
          <t>Fonseca</t>
        </is>
      </c>
      <c r="F10" s="13" t="inlineStr">
        <is>
          <t>cintiafonseeca@gmail.com</t>
        </is>
      </c>
      <c r="G10" s="13" t="inlineStr">
        <is>
          <t>não</t>
        </is>
      </c>
      <c r="H10" s="13" t="inlineStr">
        <is>
          <t>gmail.com</t>
        </is>
      </c>
      <c r="I10" s="13" t="inlineStr">
        <is>
          <t>+5513996215600</t>
        </is>
      </c>
      <c r="J10" s="13" t="inlineStr">
        <is>
          <t>2026-08-25 12:52</t>
        </is>
      </c>
      <c r="K10" s="14" t="n">
        <v>1</v>
      </c>
      <c r="L10" s="16" t="inlineStr">
        <is>
          <t>REVIEW</t>
        </is>
      </c>
      <c r="M10" s="16" t="inlineStr">
        <is>
          <t>nome_exato_generico</t>
        </is>
      </c>
      <c r="N10" s="17" t="n">
        <v>0.6</v>
      </c>
      <c r="O10" s="13" t="inlineStr">
        <is>
          <t>apos_comentario</t>
        </is>
      </c>
      <c r="P10" s="14" t="n">
        <v>1</v>
      </c>
      <c r="Q10" s="13" t="inlineStr">
        <is>
          <t>https://www.linkedin.com/in/c%C3%ADntia-fonseca-638a251aa</t>
        </is>
      </c>
      <c r="R10" s="13" t="inlineStr">
        <is>
          <t>Cíntia Fonseca</t>
        </is>
      </c>
      <c r="S10" s="13" t="inlineStr">
        <is>
          <t>SDR / BDR</t>
        </is>
      </c>
      <c r="T10" s="13" t="inlineStr">
        <is>
          <t>operacional</t>
        </is>
      </c>
      <c r="U10" s="13" t="inlineStr">
        <is>
          <t>vendas</t>
        </is>
      </c>
      <c r="V10" s="13" t="inlineStr">
        <is>
          <t>Vkron Agência de Marketing Digital</t>
        </is>
      </c>
      <c r="W10" s="14" t="n">
        <v>27</v>
      </c>
      <c r="X10" s="13" t="inlineStr">
        <is>
          <t>Marketing Services</t>
        </is>
      </c>
      <c r="Y10" s="13" t="inlineStr"/>
      <c r="Z10" s="13" t="inlineStr"/>
      <c r="AA10" s="13" t="inlineStr"/>
      <c r="AB10" s="13" t="inlineStr">
        <is>
          <t>disqualified</t>
        </is>
      </c>
      <c r="AC10" s="14" t="n">
        <v>30</v>
      </c>
      <c r="AD10" s="13" t="inlineStr">
        <is>
          <t>O cargo de SDR/BDR não é considerado um cargo alto e a empresa tem menos de 200 colaboradores.</t>
        </is>
      </c>
      <c r="AE10" s="14" t="n">
        <v>1</v>
      </c>
      <c r="AF10" s="13" t="inlineStr">
        <is>
          <t>2026-08-12</t>
        </is>
      </c>
      <c r="AG10" s="13" t="inlineStr">
        <is>
          <t>2026-08-12</t>
        </is>
      </c>
      <c r="AH10" s="13" t="inlineStr">
        <is>
          <t>2026-08-11 s/CTA</t>
        </is>
      </c>
      <c r="AI10" s="13" t="inlineStr"/>
      <c r="AJ10" s="14" t="n">
        <v>1</v>
      </c>
      <c r="AK10" s="13" t="inlineStr">
        <is>
          <t>36 Skills de SDR para Claude</t>
        </is>
      </c>
      <c r="AL10" s="13" t="inlineStr">
        <is>
          <t>2026-08-25</t>
        </is>
      </c>
      <c r="AM10" s="14" t="n">
        <v>0</v>
      </c>
      <c r="AN10" s="13" t="inlineStr">
        <is>
          <t>não</t>
        </is>
      </c>
      <c r="AO10" s="13" t="inlineStr"/>
      <c r="AP10" s="13" t="inlineStr"/>
      <c r="AQ10" s="13" t="inlineStr">
        <is>
          <t>não</t>
        </is>
      </c>
      <c r="AR10" s="13" t="inlineStr"/>
    </row>
    <row r="11">
      <c r="A11" s="16" t="inlineStr">
        <is>
          <t>Real</t>
        </is>
      </c>
      <c r="B11" s="16" t="inlineStr">
        <is>
          <t>Comentou em post</t>
        </is>
      </c>
      <c r="C11" s="13" t="inlineStr">
        <is>
          <t>Gabriel Lima</t>
        </is>
      </c>
      <c r="D11" s="13" t="inlineStr">
        <is>
          <t>Gabriel</t>
        </is>
      </c>
      <c r="E11" s="13" t="inlineStr">
        <is>
          <t>Lima</t>
        </is>
      </c>
      <c r="F11" s="13" t="inlineStr">
        <is>
          <t>ga.lima@reply.com</t>
        </is>
      </c>
      <c r="G11" s="13" t="inlineStr">
        <is>
          <t>sim</t>
        </is>
      </c>
      <c r="H11" s="13" t="inlineStr">
        <is>
          <t>reply.com</t>
        </is>
      </c>
      <c r="I11" s="13" t="inlineStr">
        <is>
          <t>+5511970452004</t>
        </is>
      </c>
      <c r="J11" s="13" t="inlineStr">
        <is>
          <t>2026-08-25 12:50</t>
        </is>
      </c>
      <c r="K11" s="14" t="n">
        <v>1</v>
      </c>
      <c r="L11" s="16" t="inlineStr">
        <is>
          <t>REVIEW</t>
        </is>
      </c>
      <c r="M11" s="16" t="inlineStr">
        <is>
          <t>nome_exato_generico</t>
        </is>
      </c>
      <c r="N11" s="17" t="n">
        <v>0.6</v>
      </c>
      <c r="O11" s="13" t="inlineStr">
        <is>
          <t>apos_comentario</t>
        </is>
      </c>
      <c r="P11" s="14" t="n">
        <v>1</v>
      </c>
      <c r="Q11" s="13" t="inlineStr">
        <is>
          <t>https://www.linkedin.com/in/gabriel-de-lima-p</t>
        </is>
      </c>
      <c r="R11" s="13" t="inlineStr">
        <is>
          <t>Gabriel de Lima P.</t>
        </is>
      </c>
      <c r="S11" s="13" t="inlineStr">
        <is>
          <t>Executivo de Vendas | Inside Sales | SDR | BDR | Hunter | B2B | Outbound | Analista TI | Analista de Suporte | Cloud | Projetos Infraestrutura | ADS | Programador | Tecnologia | SQL</t>
        </is>
      </c>
      <c r="T11" s="13" t="inlineStr">
        <is>
          <t>desconhecido</t>
        </is>
      </c>
      <c r="U11" s="13" t="inlineStr">
        <is>
          <t>vendas</t>
        </is>
      </c>
      <c r="V11" s="13" t="inlineStr">
        <is>
          <t>Senior Mega SPO</t>
        </is>
      </c>
      <c r="W11" s="14" t="n">
        <v>11</v>
      </c>
      <c r="X11" s="13" t="inlineStr"/>
      <c r="Y11" s="13" t="inlineStr"/>
      <c r="Z11" s="13" t="inlineStr"/>
      <c r="AA11" s="13" t="inlineStr"/>
      <c r="AB11" s="13" t="inlineStr">
        <is>
          <t>disqualified</t>
        </is>
      </c>
      <c r="AC11" s="14" t="n">
        <v>30</v>
      </c>
      <c r="AD11" s="13" t="inlineStr">
        <is>
          <t>O lead é um SDR, que não é um cargo de decisão e a empresa tem apenas 11 colaboradores.</t>
        </is>
      </c>
      <c r="AE11" s="14" t="n">
        <v>1</v>
      </c>
      <c r="AF11" s="13" t="inlineStr">
        <is>
          <t>2026-08-11</t>
        </is>
      </c>
      <c r="AG11" s="13" t="inlineStr">
        <is>
          <t>2026-08-11</t>
        </is>
      </c>
      <c r="AH11" s="13" t="inlineStr">
        <is>
          <t>2026-08-11 s/CTA</t>
        </is>
      </c>
      <c r="AI11" s="13" t="inlineStr"/>
      <c r="AJ11" s="14" t="n">
        <v>0</v>
      </c>
      <c r="AK11" s="13" t="inlineStr"/>
      <c r="AL11" s="13" t="inlineStr">
        <is>
          <t>2026-08-25</t>
        </is>
      </c>
      <c r="AM11" s="14" t="n">
        <v>0</v>
      </c>
      <c r="AN11" s="13" t="inlineStr">
        <is>
          <t>não</t>
        </is>
      </c>
      <c r="AO11" s="13" t="inlineStr"/>
      <c r="AP11" s="13" t="inlineStr"/>
      <c r="AQ11" s="13" t="inlineStr">
        <is>
          <t>não</t>
        </is>
      </c>
      <c r="AR11" s="13" t="inlineStr"/>
    </row>
    <row r="12">
      <c r="A12" s="16" t="inlineStr">
        <is>
          <t>Real</t>
        </is>
      </c>
      <c r="B12" s="16" t="inlineStr">
        <is>
          <t>Comentou em post</t>
        </is>
      </c>
      <c r="C12" s="13" t="inlineStr">
        <is>
          <t>Hudson Oliveira</t>
        </is>
      </c>
      <c r="D12" s="13" t="inlineStr">
        <is>
          <t>Hudson</t>
        </is>
      </c>
      <c r="E12" s="13" t="inlineStr">
        <is>
          <t>Oliveira</t>
        </is>
      </c>
      <c r="F12" s="13" t="inlineStr">
        <is>
          <t>hudson.dias91@gmail.com</t>
        </is>
      </c>
      <c r="G12" s="13" t="inlineStr">
        <is>
          <t>não</t>
        </is>
      </c>
      <c r="H12" s="13" t="inlineStr">
        <is>
          <t>gmail.com</t>
        </is>
      </c>
      <c r="I12" s="13" t="inlineStr">
        <is>
          <t>+5519991508069</t>
        </is>
      </c>
      <c r="J12" s="13" t="inlineStr">
        <is>
          <t>2026-08-26 11:36</t>
        </is>
      </c>
      <c r="K12" s="14" t="n">
        <v>1</v>
      </c>
      <c r="L12" s="16" t="inlineStr">
        <is>
          <t>REVIEW</t>
        </is>
      </c>
      <c r="M12" s="16" t="inlineStr">
        <is>
          <t>nome_parcial</t>
        </is>
      </c>
      <c r="N12" s="17" t="n">
        <v>0.45</v>
      </c>
      <c r="O12" s="13" t="inlineStr">
        <is>
          <t>apos_comentario</t>
        </is>
      </c>
      <c r="P12" s="14" t="n">
        <v>1</v>
      </c>
      <c r="Q12" s="13" t="inlineStr">
        <is>
          <t>https://www.linkedin.com/in/hudson-leonardo-oliveira-718a4944</t>
        </is>
      </c>
      <c r="R12" s="13" t="inlineStr">
        <is>
          <t>Hudson Leonardo Oliveira</t>
        </is>
      </c>
      <c r="S12" s="13" t="inlineStr">
        <is>
          <t>Sócio e Consultor de Negócios</t>
        </is>
      </c>
      <c r="T12" s="13" t="inlineStr">
        <is>
          <t>diretoria</t>
        </is>
      </c>
      <c r="U12" s="13" t="inlineStr">
        <is>
          <t>outro</t>
        </is>
      </c>
      <c r="V12" s="13" t="inlineStr">
        <is>
          <t>Consultólogo</t>
        </is>
      </c>
      <c r="W12" s="14" t="n">
        <v>2</v>
      </c>
      <c r="X12" s="13" t="inlineStr">
        <is>
          <t>Business Consulting and Services</t>
        </is>
      </c>
      <c r="Y12" s="13" t="inlineStr"/>
      <c r="Z12" s="13" t="inlineStr"/>
      <c r="AA12" s="13" t="inlineStr"/>
      <c r="AB12" s="13" t="inlineStr">
        <is>
          <t>disqualified</t>
        </is>
      </c>
      <c r="AC12" s="14" t="n">
        <v>30</v>
      </c>
      <c r="AD12" s="13" t="inlineStr">
        <is>
          <t>A empresa atual tem apenas 2 colaboradores, o que não atende ao critério de porte mínimo.</t>
        </is>
      </c>
      <c r="AE12" s="14" t="n">
        <v>2</v>
      </c>
      <c r="AF12" s="13" t="inlineStr">
        <is>
          <t>2026-07-30</t>
        </is>
      </c>
      <c r="AG12" s="13" t="inlineStr">
        <is>
          <t>2026-08-11</t>
        </is>
      </c>
      <c r="AH12" s="13" t="inlineStr">
        <is>
          <t>2026-07-29 OS | 2026-08-11 s/CTA</t>
        </is>
      </c>
      <c r="AI12" s="13" t="inlineStr">
        <is>
          <t>OS</t>
        </is>
      </c>
      <c r="AJ12" s="14" t="n">
        <v>0</v>
      </c>
      <c r="AK12" s="13" t="inlineStr"/>
      <c r="AL12" s="13" t="inlineStr">
        <is>
          <t>2026-08-26</t>
        </is>
      </c>
      <c r="AM12" s="14" t="n">
        <v>0</v>
      </c>
      <c r="AN12" s="13" t="inlineStr">
        <is>
          <t>não</t>
        </is>
      </c>
      <c r="AO12" s="13" t="inlineStr"/>
      <c r="AP12" s="13" t="inlineStr"/>
      <c r="AQ12" s="13" t="inlineStr">
        <is>
          <t>não</t>
        </is>
      </c>
      <c r="AR12" s="13" t="inlineStr"/>
    </row>
    <row r="13">
      <c r="A13" s="16" t="inlineStr">
        <is>
          <t>Real</t>
        </is>
      </c>
      <c r="B13" s="16" t="inlineStr">
        <is>
          <t>Comentou em post</t>
        </is>
      </c>
      <c r="C13" s="13" t="inlineStr">
        <is>
          <t>patricia zaniratto</t>
        </is>
      </c>
      <c r="D13" s="13" t="inlineStr">
        <is>
          <t>patricia</t>
        </is>
      </c>
      <c r="E13" s="13" t="inlineStr">
        <is>
          <t>zaniratto</t>
        </is>
      </c>
      <c r="F13" s="13" t="inlineStr">
        <is>
          <t>zanirattocomercial@gmail.com</t>
        </is>
      </c>
      <c r="G13" s="13" t="inlineStr">
        <is>
          <t>não</t>
        </is>
      </c>
      <c r="H13" s="13" t="inlineStr">
        <is>
          <t>gmail.com</t>
        </is>
      </c>
      <c r="I13" s="13" t="inlineStr">
        <is>
          <t>+5511991625614</t>
        </is>
      </c>
      <c r="J13" s="13" t="inlineStr">
        <is>
          <t>2026-08-25 13:06</t>
        </is>
      </c>
      <c r="K13" s="14" t="n">
        <v>1</v>
      </c>
      <c r="L13" s="16" t="inlineStr">
        <is>
          <t>REVIEW</t>
        </is>
      </c>
      <c r="M13" s="16" t="inlineStr">
        <is>
          <t>nome_exato_generico</t>
        </is>
      </c>
      <c r="N13" s="17" t="n">
        <v>0.6</v>
      </c>
      <c r="O13" s="13" t="inlineStr">
        <is>
          <t>apos_comentario</t>
        </is>
      </c>
      <c r="P13" s="14" t="n">
        <v>1</v>
      </c>
      <c r="Q13" s="13" t="inlineStr">
        <is>
          <t>https://www.linkedin.com/in/patricia-zaniratto-a4438948</t>
        </is>
      </c>
      <c r="R13" s="13" t="inlineStr">
        <is>
          <t>Patricia Zaniratto</t>
        </is>
      </c>
      <c r="S13" s="13" t="inlineStr">
        <is>
          <t>Especialista em Prospecção B2B</t>
        </is>
      </c>
      <c r="T13" s="13" t="inlineStr">
        <is>
          <t>operacional</t>
        </is>
      </c>
      <c r="U13" s="13" t="inlineStr">
        <is>
          <t>vendas</t>
        </is>
      </c>
      <c r="V13" s="13" t="inlineStr">
        <is>
          <t>Zaniratto Comercial</t>
        </is>
      </c>
      <c r="W13" s="14" t="inlineStr"/>
      <c r="X13" s="13" t="inlineStr"/>
      <c r="Y13" s="13" t="inlineStr"/>
      <c r="Z13" s="13" t="inlineStr"/>
      <c r="AA13" s="13" t="inlineStr"/>
      <c r="AB13" s="13" t="inlineStr">
        <is>
          <t>disqualified</t>
        </is>
      </c>
      <c r="AC13" s="14" t="n">
        <v>30</v>
      </c>
      <c r="AD13" s="13" t="inlineStr">
        <is>
          <t>O cargo de especialista em prospecção B2B não é considerado um cargo alto com poder de decisão.</t>
        </is>
      </c>
      <c r="AE13" s="14" t="n">
        <v>1</v>
      </c>
      <c r="AF13" s="13" t="inlineStr">
        <is>
          <t>2026-08-12</t>
        </is>
      </c>
      <c r="AG13" s="13" t="inlineStr">
        <is>
          <t>2026-08-12</t>
        </is>
      </c>
      <c r="AH13" s="13" t="inlineStr">
        <is>
          <t>2026-08-11 s/CTA</t>
        </is>
      </c>
      <c r="AI13" s="13" t="inlineStr"/>
      <c r="AJ13" s="14" t="n">
        <v>0</v>
      </c>
      <c r="AK13" s="13" t="inlineStr"/>
      <c r="AL13" s="13" t="inlineStr">
        <is>
          <t>2026-08-25</t>
        </is>
      </c>
      <c r="AM13" s="14" t="n">
        <v>0</v>
      </c>
      <c r="AN13" s="13" t="inlineStr">
        <is>
          <t>não</t>
        </is>
      </c>
      <c r="AO13" s="13" t="inlineStr"/>
      <c r="AP13" s="13" t="inlineStr"/>
      <c r="AQ13" s="13" t="inlineStr">
        <is>
          <t>não</t>
        </is>
      </c>
      <c r="AR13" s="13" t="inlineStr"/>
    </row>
    <row r="14">
      <c r="A14" s="16" t="inlineStr">
        <is>
          <t>Real</t>
        </is>
      </c>
      <c r="B14" s="16" t="inlineStr">
        <is>
          <t>Comentou em post</t>
        </is>
      </c>
      <c r="C14" s="13" t="inlineStr">
        <is>
          <t>Rafael Silva</t>
        </is>
      </c>
      <c r="D14" s="13" t="inlineStr">
        <is>
          <t>Rafael</t>
        </is>
      </c>
      <c r="E14" s="13" t="inlineStr">
        <is>
          <t>Silva</t>
        </is>
      </c>
      <c r="F14" s="13" t="inlineStr">
        <is>
          <t>orafaelnsilva@gmail.com</t>
        </is>
      </c>
      <c r="G14" s="13" t="inlineStr">
        <is>
          <t>não</t>
        </is>
      </c>
      <c r="H14" s="13" t="inlineStr">
        <is>
          <t>gmail.com</t>
        </is>
      </c>
      <c r="I14" s="13" t="inlineStr">
        <is>
          <t>+5511972233392</t>
        </is>
      </c>
      <c r="J14" s="13" t="inlineStr">
        <is>
          <t>2026-08-25 14:04</t>
        </is>
      </c>
      <c r="K14" s="14" t="n">
        <v>1</v>
      </c>
      <c r="L14" s="16" t="inlineStr">
        <is>
          <t>REVIEW</t>
        </is>
      </c>
      <c r="M14" s="16" t="inlineStr">
        <is>
          <t>nome_parcial</t>
        </is>
      </c>
      <c r="N14" s="17" t="n">
        <v>0.45</v>
      </c>
      <c r="O14" s="13" t="inlineStr">
        <is>
          <t>apos_comentario</t>
        </is>
      </c>
      <c r="P14" s="14" t="n">
        <v>3</v>
      </c>
      <c r="Q14" s="13" t="inlineStr">
        <is>
          <t>https://www.linkedin.com/in/orafaelnunes</t>
        </is>
      </c>
      <c r="R14" s="13" t="inlineStr">
        <is>
          <t>Rafael Nunes da Silva</t>
        </is>
      </c>
      <c r="S14" s="13" t="inlineStr">
        <is>
          <t>Estratégia Digital, Inovação e Produtos SaaS | Foco em Crescimento, Dados e Experiência do Usuário</t>
        </is>
      </c>
      <c r="T14" s="13" t="inlineStr">
        <is>
          <t>desconhecido</t>
        </is>
      </c>
      <c r="U14" s="13" t="inlineStr">
        <is>
          <t>desconhecido</t>
        </is>
      </c>
      <c r="V14" s="13" t="inlineStr"/>
      <c r="W14" s="14" t="inlineStr"/>
      <c r="X14" s="13" t="inlineStr"/>
      <c r="Y14" s="13" t="inlineStr"/>
      <c r="Z14" s="13" t="inlineStr"/>
      <c r="AA14" s="13" t="inlineStr"/>
      <c r="AB14" s="13" t="inlineStr">
        <is>
          <t>disqualified</t>
        </is>
      </c>
      <c r="AC14" s="14" t="n">
        <v>30</v>
      </c>
      <c r="AD14" s="13" t="inlineStr">
        <is>
          <t>O lead está sem emprego atual, o que impede a qualificação.</t>
        </is>
      </c>
      <c r="AE14" s="14" t="n">
        <v>2</v>
      </c>
      <c r="AF14" s="13" t="inlineStr">
        <is>
          <t>2026-07-14</t>
        </is>
      </c>
      <c r="AG14" s="13" t="inlineStr">
        <is>
          <t>2026-08-11</t>
        </is>
      </c>
      <c r="AH14" s="13" t="inlineStr">
        <is>
          <t>2026-07-14 FLOW | 2026-08-11 s/CTA</t>
        </is>
      </c>
      <c r="AI14" s="13" t="inlineStr">
        <is>
          <t>FLOW</t>
        </is>
      </c>
      <c r="AJ14" s="14" t="n">
        <v>3</v>
      </c>
      <c r="AK14" s="13" t="inlineStr">
        <is>
          <t>36 Skills de SDR para Claude</t>
        </is>
      </c>
      <c r="AL14" s="13" t="inlineStr">
        <is>
          <t>2026-08-11</t>
        </is>
      </c>
      <c r="AM14" s="14" t="n">
        <v>14</v>
      </c>
      <c r="AN14" s="13" t="inlineStr">
        <is>
          <t>não</t>
        </is>
      </c>
      <c r="AO14" s="13" t="inlineStr"/>
      <c r="AP14" s="13" t="inlineStr"/>
      <c r="AQ14" s="13" t="inlineStr">
        <is>
          <t>não</t>
        </is>
      </c>
      <c r="AR14" s="13" t="inlineStr"/>
    </row>
    <row r="15">
      <c r="A15" s="16" t="inlineStr">
        <is>
          <t>Real</t>
        </is>
      </c>
      <c r="B15" s="16" t="inlineStr">
        <is>
          <t>Comentou em post</t>
        </is>
      </c>
      <c r="C15" s="13" t="inlineStr">
        <is>
          <t>Sidnei Brianti</t>
        </is>
      </c>
      <c r="D15" s="13" t="inlineStr">
        <is>
          <t>Sidnei</t>
        </is>
      </c>
      <c r="E15" s="13" t="inlineStr">
        <is>
          <t>Brianti</t>
        </is>
      </c>
      <c r="F15" s="13" t="inlineStr">
        <is>
          <t>scbrianti2022@gmail.com</t>
        </is>
      </c>
      <c r="G15" s="13" t="inlineStr">
        <is>
          <t>não</t>
        </is>
      </c>
      <c r="H15" s="13" t="inlineStr">
        <is>
          <t>gmail.com</t>
        </is>
      </c>
      <c r="I15" s="13" t="inlineStr">
        <is>
          <t>+5519982450707</t>
        </is>
      </c>
      <c r="J15" s="13" t="inlineStr">
        <is>
          <t>2026-08-25 14:27</t>
        </is>
      </c>
      <c r="K15" s="14" t="n">
        <v>1</v>
      </c>
      <c r="L15" s="16" t="inlineStr">
        <is>
          <t>REVIEW</t>
        </is>
      </c>
      <c r="M15" s="16" t="inlineStr">
        <is>
          <t>nome_exato_generico</t>
        </is>
      </c>
      <c r="N15" s="17" t="n">
        <v>0.6</v>
      </c>
      <c r="O15" s="13" t="inlineStr">
        <is>
          <t>apos_comentario</t>
        </is>
      </c>
      <c r="P15" s="14" t="n">
        <v>1</v>
      </c>
      <c r="Q15" s="13" t="inlineStr">
        <is>
          <t>https://www.linkedin.com/in/sidnei-brianti</t>
        </is>
      </c>
      <c r="R15" s="13" t="inlineStr">
        <is>
          <t>Sidnei Brianti</t>
        </is>
      </c>
      <c r="S15" s="13" t="inlineStr">
        <is>
          <t>Fundador</t>
        </is>
      </c>
      <c r="T15" s="13" t="inlineStr">
        <is>
          <t>c-level</t>
        </is>
      </c>
      <c r="U15" s="13" t="inlineStr">
        <is>
          <t>outro</t>
        </is>
      </c>
      <c r="V15" s="13" t="inlineStr">
        <is>
          <t>LinkaTudo</t>
        </is>
      </c>
      <c r="W15" s="14" t="n">
        <v>2</v>
      </c>
      <c r="X15" s="13" t="inlineStr"/>
      <c r="Y15" s="13" t="inlineStr"/>
      <c r="Z15" s="13" t="inlineStr"/>
      <c r="AA15" s="13" t="inlineStr"/>
      <c r="AB15" s="13" t="inlineStr">
        <is>
          <t>disqualified</t>
        </is>
      </c>
      <c r="AC15" s="14" t="n">
        <v>30</v>
      </c>
      <c r="AD15" s="13" t="inlineStr">
        <is>
          <t>Embora seja fundador, a empresa tem apenas 2 colaboradores, o que não atende ao critério de porte mínimo.</t>
        </is>
      </c>
      <c r="AE15" s="14" t="n">
        <v>1</v>
      </c>
      <c r="AF15" s="13" t="inlineStr">
        <is>
          <t>2026-08-11</t>
        </is>
      </c>
      <c r="AG15" s="13" t="inlineStr">
        <is>
          <t>2026-08-11</t>
        </is>
      </c>
      <c r="AH15" s="13" t="inlineStr">
        <is>
          <t>2026-08-11 s/CTA</t>
        </is>
      </c>
      <c r="AI15" s="13" t="inlineStr"/>
      <c r="AJ15" s="14" t="n">
        <v>3</v>
      </c>
      <c r="AK15" s="13" t="inlineStr">
        <is>
          <t>36 Skills de SDR para Claude</t>
        </is>
      </c>
      <c r="AL15" s="13" t="inlineStr">
        <is>
          <t>2026-08-11</t>
        </is>
      </c>
      <c r="AM15" s="14" t="n">
        <v>14</v>
      </c>
      <c r="AN15" s="13" t="inlineStr">
        <is>
          <t>não</t>
        </is>
      </c>
      <c r="AO15" s="13" t="inlineStr"/>
      <c r="AP15" s="13" t="inlineStr"/>
      <c r="AQ15" s="13" t="inlineStr">
        <is>
          <t>não</t>
        </is>
      </c>
      <c r="AR15" s="13" t="inlineStr"/>
    </row>
    <row r="16">
      <c r="A16" s="16" t="inlineStr">
        <is>
          <t>Real</t>
        </is>
      </c>
      <c r="B16" s="16" t="inlineStr">
        <is>
          <t>Comentou em post</t>
        </is>
      </c>
      <c r="C16" s="13" t="inlineStr">
        <is>
          <t>Nicolò de Marle</t>
        </is>
      </c>
      <c r="D16" s="13" t="inlineStr">
        <is>
          <t>Nicolò</t>
        </is>
      </c>
      <c r="E16" s="13" t="inlineStr">
        <is>
          <t>de Marle</t>
        </is>
      </c>
      <c r="F16" s="13" t="inlineStr">
        <is>
          <t>nicodemarle@gmail.com</t>
        </is>
      </c>
      <c r="G16" s="13" t="inlineStr">
        <is>
          <t>não</t>
        </is>
      </c>
      <c r="H16" s="13" t="inlineStr">
        <is>
          <t>gmail.com</t>
        </is>
      </c>
      <c r="I16" s="13" t="inlineStr">
        <is>
          <t>+5541991090330</t>
        </is>
      </c>
      <c r="J16" s="13" t="inlineStr">
        <is>
          <t>2026-08-25 13:13</t>
        </is>
      </c>
      <c r="K16" s="14" t="n">
        <v>1</v>
      </c>
      <c r="L16" s="16" t="inlineStr">
        <is>
          <t>REVIEW</t>
        </is>
      </c>
      <c r="M16" s="16" t="inlineStr">
        <is>
          <t>nome_parcial</t>
        </is>
      </c>
      <c r="N16" s="17" t="n">
        <v>0.45</v>
      </c>
      <c r="O16" s="13" t="inlineStr">
        <is>
          <t>apos_comentario</t>
        </is>
      </c>
      <c r="P16" s="14" t="n">
        <v>1</v>
      </c>
      <c r="Q16" s="13" t="inlineStr">
        <is>
          <t>https://www.linkedin.com/in/nicogiustidemarle</t>
        </is>
      </c>
      <c r="R16" s="13" t="inlineStr">
        <is>
          <t>Nicolò Giusti de Marle</t>
        </is>
      </c>
      <c r="S16" s="13" t="inlineStr">
        <is>
          <t>Co-Founder</t>
        </is>
      </c>
      <c r="T16" s="13" t="inlineStr">
        <is>
          <t>c-level</t>
        </is>
      </c>
      <c r="U16" s="13" t="inlineStr">
        <is>
          <t>outro</t>
        </is>
      </c>
      <c r="V16" s="13" t="inlineStr">
        <is>
          <t>LUXIA</t>
        </is>
      </c>
      <c r="W16" s="14" t="n">
        <v>3</v>
      </c>
      <c r="X16" s="13" t="inlineStr">
        <is>
          <t>Software Development</t>
        </is>
      </c>
      <c r="Y16" s="13" t="inlineStr">
        <is>
          <t>Curitiba</t>
        </is>
      </c>
      <c r="Z16" s="13" t="inlineStr">
        <is>
          <t>Paraná</t>
        </is>
      </c>
      <c r="AA16" s="13" t="inlineStr">
        <is>
          <t>Brazil</t>
        </is>
      </c>
      <c r="AB16" s="13" t="inlineStr">
        <is>
          <t>disqualified</t>
        </is>
      </c>
      <c r="AC16" s="14" t="n">
        <v>0</v>
      </c>
      <c r="AD16" s="13" t="inlineStr">
        <is>
          <t>A empresa LUXIA possui apenas 3 colaboradores, não atendendo ao critério de porte mínimo.</t>
        </is>
      </c>
      <c r="AE16" s="14" t="n">
        <v>1</v>
      </c>
      <c r="AF16" s="13" t="inlineStr">
        <is>
          <t>2026-08-21</t>
        </is>
      </c>
      <c r="AG16" s="13" t="inlineStr">
        <is>
          <t>2026-08-21</t>
        </is>
      </c>
      <c r="AH16" s="13" t="inlineStr">
        <is>
          <t>2026-08-11 s/CTA</t>
        </is>
      </c>
      <c r="AI16" s="13" t="inlineStr"/>
      <c r="AJ16" s="14" t="n">
        <v>0</v>
      </c>
      <c r="AK16" s="13" t="inlineStr"/>
      <c r="AL16" s="13" t="inlineStr">
        <is>
          <t>2026-08-25</t>
        </is>
      </c>
      <c r="AM16" s="14" t="n">
        <v>0</v>
      </c>
      <c r="AN16" s="13" t="inlineStr">
        <is>
          <t>não</t>
        </is>
      </c>
      <c r="AO16" s="13" t="inlineStr"/>
      <c r="AP16" s="13" t="inlineStr"/>
      <c r="AQ16" s="13" t="inlineStr">
        <is>
          <t>não</t>
        </is>
      </c>
      <c r="AR16" s="13" t="inlineStr"/>
    </row>
    <row r="17">
      <c r="A17" s="13" t="inlineStr">
        <is>
          <t>Real</t>
        </is>
      </c>
      <c r="B17" s="13" t="inlineStr">
        <is>
          <t>Baixou outro lead magnet</t>
        </is>
      </c>
      <c r="C17" s="13" t="inlineStr">
        <is>
          <t>Andrei Lucas</t>
        </is>
      </c>
      <c r="D17" s="13" t="inlineStr">
        <is>
          <t>Andrei</t>
        </is>
      </c>
      <c r="E17" s="13" t="inlineStr">
        <is>
          <t>Lucas</t>
        </is>
      </c>
      <c r="F17" s="13" t="inlineStr">
        <is>
          <t>andreidias.96@outlook.com</t>
        </is>
      </c>
      <c r="G17" s="13" t="inlineStr">
        <is>
          <t>não</t>
        </is>
      </c>
      <c r="H17" s="13" t="inlineStr">
        <is>
          <t>outlook.com</t>
        </is>
      </c>
      <c r="I17" s="13" t="inlineStr">
        <is>
          <t>+5511981735119</t>
        </is>
      </c>
      <c r="J17" s="13" t="inlineStr">
        <is>
          <t>2026-08-25 13:31</t>
        </is>
      </c>
      <c r="K17" s="14" t="n">
        <v>1</v>
      </c>
      <c r="L17" s="13" t="inlineStr">
        <is>
          <t>NOT_FOUND</t>
        </is>
      </c>
      <c r="M17" s="13" t="inlineStr"/>
      <c r="N17" s="18" t="inlineStr"/>
      <c r="O17" s="13" t="inlineStr"/>
      <c r="P17" s="14" t="n">
        <v>0</v>
      </c>
      <c r="Q17" s="13" t="inlineStr"/>
      <c r="R17" s="13" t="inlineStr"/>
      <c r="S17" s="13" t="inlineStr"/>
      <c r="T17" s="13" t="inlineStr"/>
      <c r="U17" s="13" t="inlineStr"/>
      <c r="V17" s="13" t="inlineStr"/>
      <c r="W17" s="14" t="inlineStr"/>
      <c r="X17" s="13" t="inlineStr"/>
      <c r="Y17" s="13" t="inlineStr"/>
      <c r="Z17" s="13" t="inlineStr"/>
      <c r="AA17" s="13" t="inlineStr"/>
      <c r="AB17" s="13" t="inlineStr"/>
      <c r="AC17" s="14" t="inlineStr"/>
      <c r="AD17" s="13" t="inlineStr"/>
      <c r="AE17" s="14" t="n">
        <v>0</v>
      </c>
      <c r="AF17" s="13" t="inlineStr"/>
      <c r="AG17" s="13" t="inlineStr"/>
      <c r="AH17" s="13" t="inlineStr"/>
      <c r="AI17" s="13" t="inlineStr"/>
      <c r="AJ17" s="14" t="n">
        <v>1</v>
      </c>
      <c r="AK17" s="13" t="inlineStr">
        <is>
          <t>O Setup inicial do OS da sua empresa</t>
        </is>
      </c>
      <c r="AL17" s="13" t="inlineStr">
        <is>
          <t>2026-07-30</t>
        </is>
      </c>
      <c r="AM17" s="14" t="n">
        <v>26</v>
      </c>
      <c r="AN17" s="13" t="inlineStr">
        <is>
          <t>não</t>
        </is>
      </c>
      <c r="AO17" s="13" t="inlineStr"/>
      <c r="AP17" s="13" t="inlineStr"/>
      <c r="AQ17" s="13" t="inlineStr">
        <is>
          <t>não</t>
        </is>
      </c>
      <c r="AR17" s="13" t="inlineStr"/>
    </row>
    <row r="18">
      <c r="A18" s="13" t="inlineStr">
        <is>
          <t>Real</t>
        </is>
      </c>
      <c r="B18" s="13" t="inlineStr">
        <is>
          <t>Baixou outro lead magnet</t>
        </is>
      </c>
      <c r="C18" s="13" t="inlineStr">
        <is>
          <t>Gustavo Santos</t>
        </is>
      </c>
      <c r="D18" s="13" t="inlineStr">
        <is>
          <t>Gustavo</t>
        </is>
      </c>
      <c r="E18" s="13" t="inlineStr">
        <is>
          <t>Santos</t>
        </is>
      </c>
      <c r="F18" s="13" t="inlineStr">
        <is>
          <t>gustavomaedoyt@gmail.com</t>
        </is>
      </c>
      <c r="G18" s="13" t="inlineStr">
        <is>
          <t>não</t>
        </is>
      </c>
      <c r="H18" s="13" t="inlineStr">
        <is>
          <t>gmail.com</t>
        </is>
      </c>
      <c r="I18" s="13" t="inlineStr">
        <is>
          <t>+5511997159940</t>
        </is>
      </c>
      <c r="J18" s="13" t="inlineStr">
        <is>
          <t>2026-08-25 13:07</t>
        </is>
      </c>
      <c r="K18" s="14" t="n">
        <v>1</v>
      </c>
      <c r="L18" s="13" t="inlineStr">
        <is>
          <t>NOT_FOUND</t>
        </is>
      </c>
      <c r="M18" s="13" t="inlineStr"/>
      <c r="N18" s="18" t="inlineStr"/>
      <c r="O18" s="13" t="inlineStr"/>
      <c r="P18" s="14" t="n">
        <v>0</v>
      </c>
      <c r="Q18" s="13" t="inlineStr"/>
      <c r="R18" s="13" t="inlineStr"/>
      <c r="S18" s="13" t="inlineStr"/>
      <c r="T18" s="13" t="inlineStr"/>
      <c r="U18" s="13" t="inlineStr"/>
      <c r="V18" s="13" t="inlineStr"/>
      <c r="W18" s="14" t="inlineStr"/>
      <c r="X18" s="13" t="inlineStr"/>
      <c r="Y18" s="13" t="inlineStr"/>
      <c r="Z18" s="13" t="inlineStr"/>
      <c r="AA18" s="13" t="inlineStr"/>
      <c r="AB18" s="13" t="inlineStr"/>
      <c r="AC18" s="14" t="inlineStr"/>
      <c r="AD18" s="13" t="inlineStr"/>
      <c r="AE18" s="14" t="n">
        <v>0</v>
      </c>
      <c r="AF18" s="13" t="inlineStr"/>
      <c r="AG18" s="13" t="inlineStr"/>
      <c r="AH18" s="13" t="inlineStr"/>
      <c r="AI18" s="13" t="inlineStr"/>
      <c r="AJ18" s="14" t="n">
        <v>1</v>
      </c>
      <c r="AK18" s="13" t="inlineStr">
        <is>
          <t>O Setup inicial do OS da sua empresa</t>
        </is>
      </c>
      <c r="AL18" s="13" t="inlineStr">
        <is>
          <t>2026-08-09</t>
        </is>
      </c>
      <c r="AM18" s="14" t="n">
        <v>16</v>
      </c>
      <c r="AN18" s="13" t="inlineStr">
        <is>
          <t>não</t>
        </is>
      </c>
      <c r="AO18" s="13" t="inlineStr"/>
      <c r="AP18" s="13" t="inlineStr"/>
      <c r="AQ18" s="13" t="inlineStr">
        <is>
          <t>não</t>
        </is>
      </c>
      <c r="AR18" s="13" t="inlineStr"/>
    </row>
    <row r="19">
      <c r="A19" s="13" t="inlineStr">
        <is>
          <t>Real</t>
        </is>
      </c>
      <c r="B19" s="13" t="inlineStr">
        <is>
          <t>Baixou outro lead magnet</t>
        </is>
      </c>
      <c r="C19" s="13" t="inlineStr">
        <is>
          <t>Rafael Comin</t>
        </is>
      </c>
      <c r="D19" s="13" t="inlineStr">
        <is>
          <t>Rafael</t>
        </is>
      </c>
      <c r="E19" s="13" t="inlineStr">
        <is>
          <t>Comin</t>
        </is>
      </c>
      <c r="F19" s="13" t="inlineStr">
        <is>
          <t>clientes.rafaelcomin@gmail.com</t>
        </is>
      </c>
      <c r="G19" s="13" t="inlineStr">
        <is>
          <t>não</t>
        </is>
      </c>
      <c r="H19" s="13" t="inlineStr">
        <is>
          <t>gmail.com</t>
        </is>
      </c>
      <c r="I19" s="13" t="inlineStr">
        <is>
          <t>+5554999166672</t>
        </is>
      </c>
      <c r="J19" s="13" t="inlineStr">
        <is>
          <t>2026-08-25 13:00</t>
        </is>
      </c>
      <c r="K19" s="14" t="n">
        <v>1</v>
      </c>
      <c r="L19" s="13" t="inlineStr">
        <is>
          <t>NOT_FOUND</t>
        </is>
      </c>
      <c r="M19" s="13" t="inlineStr"/>
      <c r="N19" s="18" t="inlineStr"/>
      <c r="O19" s="13" t="inlineStr"/>
      <c r="P19" s="14" t="n">
        <v>0</v>
      </c>
      <c r="Q19" s="13" t="inlineStr"/>
      <c r="R19" s="13" t="inlineStr"/>
      <c r="S19" s="13" t="inlineStr"/>
      <c r="T19" s="13" t="inlineStr"/>
      <c r="U19" s="13" t="inlineStr"/>
      <c r="V19" s="13" t="inlineStr"/>
      <c r="W19" s="14" t="inlineStr"/>
      <c r="X19" s="13" t="inlineStr"/>
      <c r="Y19" s="13" t="inlineStr"/>
      <c r="Z19" s="13" t="inlineStr"/>
      <c r="AA19" s="13" t="inlineStr"/>
      <c r="AB19" s="13" t="inlineStr"/>
      <c r="AC19" s="14" t="inlineStr"/>
      <c r="AD19" s="13" t="inlineStr"/>
      <c r="AE19" s="14" t="n">
        <v>0</v>
      </c>
      <c r="AF19" s="13" t="inlineStr"/>
      <c r="AG19" s="13" t="inlineStr"/>
      <c r="AH19" s="13" t="inlineStr"/>
      <c r="AI19" s="13" t="inlineStr"/>
      <c r="AJ19" s="14" t="n">
        <v>1</v>
      </c>
      <c r="AK19" s="13" t="inlineStr">
        <is>
          <t>Claude Cowork para Vendas</t>
        </is>
      </c>
      <c r="AL19" s="13" t="inlineStr">
        <is>
          <t>2026-08-11</t>
        </is>
      </c>
      <c r="AM19" s="14" t="n">
        <v>14</v>
      </c>
      <c r="AN19" s="13" t="inlineStr">
        <is>
          <t>não</t>
        </is>
      </c>
      <c r="AO19" s="13" t="inlineStr"/>
      <c r="AP19" s="13" t="inlineStr"/>
      <c r="AQ19" s="13" t="inlineStr">
        <is>
          <t>não</t>
        </is>
      </c>
      <c r="AR19" s="13" t="inlineStr"/>
    </row>
    <row r="20">
      <c r="A20" s="13" t="inlineStr">
        <is>
          <t>Real</t>
        </is>
      </c>
      <c r="B20" s="13" t="inlineStr">
        <is>
          <t>Novo</t>
        </is>
      </c>
      <c r="C20" s="13" t="inlineStr">
        <is>
          <t>Andre Sousa</t>
        </is>
      </c>
      <c r="D20" s="13" t="inlineStr">
        <is>
          <t>Andre</t>
        </is>
      </c>
      <c r="E20" s="13" t="inlineStr">
        <is>
          <t>Sousa</t>
        </is>
      </c>
      <c r="F20" s="13" t="inlineStr">
        <is>
          <t>andre.sousa@nilg.ai</t>
        </is>
      </c>
      <c r="G20" s="13" t="inlineStr">
        <is>
          <t>sim</t>
        </is>
      </c>
      <c r="H20" s="13" t="inlineStr">
        <is>
          <t>nilg.ai</t>
        </is>
      </c>
      <c r="I20" s="13" t="inlineStr">
        <is>
          <t>+351938016732</t>
        </is>
      </c>
      <c r="J20" s="13" t="inlineStr">
        <is>
          <t>2026-08-26 07:48</t>
        </is>
      </c>
      <c r="K20" s="14" t="n">
        <v>1</v>
      </c>
      <c r="L20" s="13" t="inlineStr">
        <is>
          <t>NOT_FOUND</t>
        </is>
      </c>
      <c r="M20" s="13" t="inlineStr"/>
      <c r="N20" s="18" t="inlineStr"/>
      <c r="O20" s="13" t="inlineStr"/>
      <c r="P20" s="14" t="n">
        <v>0</v>
      </c>
      <c r="Q20" s="13" t="inlineStr"/>
      <c r="R20" s="13" t="inlineStr"/>
      <c r="S20" s="13" t="inlineStr"/>
      <c r="T20" s="13" t="inlineStr"/>
      <c r="U20" s="13" t="inlineStr"/>
      <c r="V20" s="13" t="inlineStr"/>
      <c r="W20" s="14" t="inlineStr"/>
      <c r="X20" s="13" t="inlineStr"/>
      <c r="Y20" s="13" t="inlineStr"/>
      <c r="Z20" s="13" t="inlineStr"/>
      <c r="AA20" s="13" t="inlineStr"/>
      <c r="AB20" s="13" t="inlineStr"/>
      <c r="AC20" s="14" t="inlineStr"/>
      <c r="AD20" s="13" t="inlineStr"/>
      <c r="AE20" s="14" t="n">
        <v>0</v>
      </c>
      <c r="AF20" s="13" t="inlineStr"/>
      <c r="AG20" s="13" t="inlineStr"/>
      <c r="AH20" s="13" t="inlineStr"/>
      <c r="AI20" s="13" t="inlineStr"/>
      <c r="AJ20" s="14" t="n">
        <v>0</v>
      </c>
      <c r="AK20" s="13" t="inlineStr"/>
      <c r="AL20" s="13" t="inlineStr">
        <is>
          <t>2026-08-26</t>
        </is>
      </c>
      <c r="AM20" s="14" t="n">
        <v>0</v>
      </c>
      <c r="AN20" s="13" t="inlineStr">
        <is>
          <t>não</t>
        </is>
      </c>
      <c r="AO20" s="13" t="inlineStr"/>
      <c r="AP20" s="13" t="inlineStr"/>
      <c r="AQ20" s="13" t="inlineStr">
        <is>
          <t>não</t>
        </is>
      </c>
      <c r="AR20" s="13" t="inlineStr"/>
    </row>
    <row r="21">
      <c r="A21" s="13" t="inlineStr">
        <is>
          <t>Real</t>
        </is>
      </c>
      <c r="B21" s="13" t="inlineStr">
        <is>
          <t>Novo</t>
        </is>
      </c>
      <c r="C21" s="13" t="inlineStr">
        <is>
          <t>Antonio Hiaygni Guimarães</t>
        </is>
      </c>
      <c r="D21" s="13" t="inlineStr">
        <is>
          <t>Antonio Hiaygni</t>
        </is>
      </c>
      <c r="E21" s="13" t="inlineStr">
        <is>
          <t>Guimarães</t>
        </is>
      </c>
      <c r="F21" s="13" t="inlineStr">
        <is>
          <t>hiaygnifg@gmail.com</t>
        </is>
      </c>
      <c r="G21" s="13" t="inlineStr">
        <is>
          <t>não</t>
        </is>
      </c>
      <c r="H21" s="13" t="inlineStr">
        <is>
          <t>gmail.com</t>
        </is>
      </c>
      <c r="I21" s="13" t="inlineStr">
        <is>
          <t>+5586998065981</t>
        </is>
      </c>
      <c r="J21" s="13" t="inlineStr">
        <is>
          <t>2026-08-25 12:59</t>
        </is>
      </c>
      <c r="K21" s="14" t="n">
        <v>1</v>
      </c>
      <c r="L21" s="13" t="inlineStr">
        <is>
          <t>NOT_FOUND</t>
        </is>
      </c>
      <c r="M21" s="13" t="inlineStr"/>
      <c r="N21" s="18" t="inlineStr"/>
      <c r="O21" s="13" t="inlineStr"/>
      <c r="P21" s="14" t="n">
        <v>0</v>
      </c>
      <c r="Q21" s="13" t="inlineStr"/>
      <c r="R21" s="13" t="inlineStr"/>
      <c r="S21" s="13" t="inlineStr"/>
      <c r="T21" s="13" t="inlineStr"/>
      <c r="U21" s="13" t="inlineStr"/>
      <c r="V21" s="13" t="inlineStr"/>
      <c r="W21" s="14" t="inlineStr"/>
      <c r="X21" s="13" t="inlineStr"/>
      <c r="Y21" s="13" t="inlineStr"/>
      <c r="Z21" s="13" t="inlineStr"/>
      <c r="AA21" s="13" t="inlineStr"/>
      <c r="AB21" s="13" t="inlineStr"/>
      <c r="AC21" s="14" t="inlineStr"/>
      <c r="AD21" s="13" t="inlineStr"/>
      <c r="AE21" s="14" t="n">
        <v>0</v>
      </c>
      <c r="AF21" s="13" t="inlineStr"/>
      <c r="AG21" s="13" t="inlineStr"/>
      <c r="AH21" s="13" t="inlineStr"/>
      <c r="AI21" s="13" t="inlineStr"/>
      <c r="AJ21" s="14" t="n">
        <v>0</v>
      </c>
      <c r="AK21" s="13" t="inlineStr"/>
      <c r="AL21" s="13" t="inlineStr">
        <is>
          <t>2026-08-25</t>
        </is>
      </c>
      <c r="AM21" s="14" t="n">
        <v>0</v>
      </c>
      <c r="AN21" s="13" t="inlineStr">
        <is>
          <t>não</t>
        </is>
      </c>
      <c r="AO21" s="13" t="inlineStr"/>
      <c r="AP21" s="13" t="inlineStr"/>
      <c r="AQ21" s="13" t="inlineStr">
        <is>
          <t>não</t>
        </is>
      </c>
      <c r="AR21" s="13" t="inlineStr"/>
    </row>
    <row r="22">
      <c r="A22" s="13" t="inlineStr">
        <is>
          <t>Real</t>
        </is>
      </c>
      <c r="B22" s="13" t="inlineStr">
        <is>
          <t>Novo</t>
        </is>
      </c>
      <c r="C22" s="13" t="inlineStr">
        <is>
          <t>Arielle Domanski</t>
        </is>
      </c>
      <c r="D22" s="13" t="inlineStr">
        <is>
          <t>Arielle</t>
        </is>
      </c>
      <c r="E22" s="13" t="inlineStr">
        <is>
          <t>Domanski</t>
        </is>
      </c>
      <c r="F22" s="13" t="inlineStr">
        <is>
          <t>arielle.domanski@madeiramadeira.com.br</t>
        </is>
      </c>
      <c r="G22" s="13" t="inlineStr">
        <is>
          <t>sim</t>
        </is>
      </c>
      <c r="H22" s="13" t="inlineStr">
        <is>
          <t>madeiramadeira.com.br</t>
        </is>
      </c>
      <c r="I22" s="13" t="inlineStr">
        <is>
          <t>+5541996682298</t>
        </is>
      </c>
      <c r="J22" s="13" t="inlineStr">
        <is>
          <t>2026-08-25 19:05</t>
        </is>
      </c>
      <c r="K22" s="14" t="n">
        <v>1</v>
      </c>
      <c r="L22" s="13" t="inlineStr">
        <is>
          <t>NOT_FOUND</t>
        </is>
      </c>
      <c r="M22" s="13" t="inlineStr"/>
      <c r="N22" s="18" t="inlineStr"/>
      <c r="O22" s="13" t="inlineStr"/>
      <c r="P22" s="14" t="n">
        <v>0</v>
      </c>
      <c r="Q22" s="13" t="inlineStr"/>
      <c r="R22" s="13" t="inlineStr"/>
      <c r="S22" s="13" t="inlineStr"/>
      <c r="T22" s="13" t="inlineStr"/>
      <c r="U22" s="13" t="inlineStr"/>
      <c r="V22" s="13" t="inlineStr"/>
      <c r="W22" s="14" t="inlineStr"/>
      <c r="X22" s="13" t="inlineStr"/>
      <c r="Y22" s="13" t="inlineStr"/>
      <c r="Z22" s="13" t="inlineStr"/>
      <c r="AA22" s="13" t="inlineStr"/>
      <c r="AB22" s="13" t="inlineStr"/>
      <c r="AC22" s="14" t="inlineStr"/>
      <c r="AD22" s="13" t="inlineStr"/>
      <c r="AE22" s="14" t="n">
        <v>0</v>
      </c>
      <c r="AF22" s="13" t="inlineStr"/>
      <c r="AG22" s="13" t="inlineStr"/>
      <c r="AH22" s="13" t="inlineStr"/>
      <c r="AI22" s="13" t="inlineStr"/>
      <c r="AJ22" s="14" t="n">
        <v>0</v>
      </c>
      <c r="AK22" s="13" t="inlineStr"/>
      <c r="AL22" s="13" t="inlineStr">
        <is>
          <t>2026-08-25</t>
        </is>
      </c>
      <c r="AM22" s="14" t="n">
        <v>0</v>
      </c>
      <c r="AN22" s="13" t="inlineStr">
        <is>
          <t>não</t>
        </is>
      </c>
      <c r="AO22" s="13" t="inlineStr"/>
      <c r="AP22" s="13" t="inlineStr"/>
      <c r="AQ22" s="13" t="inlineStr">
        <is>
          <t>não</t>
        </is>
      </c>
      <c r="AR22" s="13" t="inlineStr"/>
    </row>
    <row r="23">
      <c r="A23" s="13" t="inlineStr">
        <is>
          <t>Real</t>
        </is>
      </c>
      <c r="B23" s="13" t="inlineStr">
        <is>
          <t>Novo</t>
        </is>
      </c>
      <c r="C23" s="13" t="inlineStr">
        <is>
          <t>Bruno Zambon</t>
        </is>
      </c>
      <c r="D23" s="13" t="inlineStr">
        <is>
          <t>Bruno</t>
        </is>
      </c>
      <c r="E23" s="13" t="inlineStr">
        <is>
          <t>Zambon</t>
        </is>
      </c>
      <c r="F23" s="13" t="inlineStr">
        <is>
          <t>bpz.adm@gmail.com</t>
        </is>
      </c>
      <c r="G23" s="13" t="inlineStr">
        <is>
          <t>não</t>
        </is>
      </c>
      <c r="H23" s="13" t="inlineStr">
        <is>
          <t>gmail.com</t>
        </is>
      </c>
      <c r="I23" s="13" t="inlineStr">
        <is>
          <t>+5527981319002</t>
        </is>
      </c>
      <c r="J23" s="13" t="inlineStr">
        <is>
          <t>2026-08-25 13:11</t>
        </is>
      </c>
      <c r="K23" s="14" t="n">
        <v>1</v>
      </c>
      <c r="L23" s="13" t="inlineStr">
        <is>
          <t>NOT_FOUND</t>
        </is>
      </c>
      <c r="M23" s="13" t="inlineStr"/>
      <c r="N23" s="18" t="inlineStr"/>
      <c r="O23" s="13" t="inlineStr"/>
      <c r="P23" s="14" t="n">
        <v>0</v>
      </c>
      <c r="Q23" s="13" t="inlineStr"/>
      <c r="R23" s="13" t="inlineStr"/>
      <c r="S23" s="13" t="inlineStr"/>
      <c r="T23" s="13" t="inlineStr"/>
      <c r="U23" s="13" t="inlineStr"/>
      <c r="V23" s="13" t="inlineStr"/>
      <c r="W23" s="14" t="inlineStr"/>
      <c r="X23" s="13" t="inlineStr"/>
      <c r="Y23" s="13" t="inlineStr"/>
      <c r="Z23" s="13" t="inlineStr"/>
      <c r="AA23" s="13" t="inlineStr"/>
      <c r="AB23" s="13" t="inlineStr"/>
      <c r="AC23" s="14" t="inlineStr"/>
      <c r="AD23" s="13" t="inlineStr"/>
      <c r="AE23" s="14" t="n">
        <v>0</v>
      </c>
      <c r="AF23" s="13" t="inlineStr"/>
      <c r="AG23" s="13" t="inlineStr"/>
      <c r="AH23" s="13" t="inlineStr"/>
      <c r="AI23" s="13" t="inlineStr"/>
      <c r="AJ23" s="14" t="n">
        <v>0</v>
      </c>
      <c r="AK23" s="13" t="inlineStr"/>
      <c r="AL23" s="13" t="inlineStr">
        <is>
          <t>2026-08-25</t>
        </is>
      </c>
      <c r="AM23" s="14" t="n">
        <v>0</v>
      </c>
      <c r="AN23" s="13" t="inlineStr">
        <is>
          <t>não</t>
        </is>
      </c>
      <c r="AO23" s="13" t="inlineStr"/>
      <c r="AP23" s="13" t="inlineStr"/>
      <c r="AQ23" s="13" t="inlineStr">
        <is>
          <t>não</t>
        </is>
      </c>
      <c r="AR23" s="13" t="inlineStr"/>
    </row>
    <row r="24">
      <c r="A24" s="13" t="inlineStr">
        <is>
          <t>Real</t>
        </is>
      </c>
      <c r="B24" s="13" t="inlineStr">
        <is>
          <t>Novo</t>
        </is>
      </c>
      <c r="C24" s="13" t="inlineStr">
        <is>
          <t>Carina Francioni</t>
        </is>
      </c>
      <c r="D24" s="13" t="inlineStr">
        <is>
          <t>Carina</t>
        </is>
      </c>
      <c r="E24" s="13" t="inlineStr">
        <is>
          <t>Francioni</t>
        </is>
      </c>
      <c r="F24" s="13" t="inlineStr">
        <is>
          <t>carinafrancionic@gmail.com</t>
        </is>
      </c>
      <c r="G24" s="13" t="inlineStr">
        <is>
          <t>não</t>
        </is>
      </c>
      <c r="H24" s="13" t="inlineStr">
        <is>
          <t>gmail.com</t>
        </is>
      </c>
      <c r="I24" s="13" t="inlineStr">
        <is>
          <t>+5547988528975</t>
        </is>
      </c>
      <c r="J24" s="13" t="inlineStr">
        <is>
          <t>2026-08-25 12:53</t>
        </is>
      </c>
      <c r="K24" s="14" t="n">
        <v>1</v>
      </c>
      <c r="L24" s="13" t="inlineStr">
        <is>
          <t>NOT_FOUND</t>
        </is>
      </c>
      <c r="M24" s="13" t="inlineStr"/>
      <c r="N24" s="18" t="inlineStr"/>
      <c r="O24" s="13" t="inlineStr"/>
      <c r="P24" s="14" t="n">
        <v>0</v>
      </c>
      <c r="Q24" s="13" t="inlineStr"/>
      <c r="R24" s="13" t="inlineStr"/>
      <c r="S24" s="13" t="inlineStr"/>
      <c r="T24" s="13" t="inlineStr"/>
      <c r="U24" s="13" t="inlineStr"/>
      <c r="V24" s="13" t="inlineStr"/>
      <c r="W24" s="14" t="inlineStr"/>
      <c r="X24" s="13" t="inlineStr"/>
      <c r="Y24" s="13" t="inlineStr"/>
      <c r="Z24" s="13" t="inlineStr"/>
      <c r="AA24" s="13" t="inlineStr"/>
      <c r="AB24" s="13" t="inlineStr"/>
      <c r="AC24" s="14" t="inlineStr"/>
      <c r="AD24" s="13" t="inlineStr"/>
      <c r="AE24" s="14" t="n">
        <v>0</v>
      </c>
      <c r="AF24" s="13" t="inlineStr"/>
      <c r="AG24" s="13" t="inlineStr"/>
      <c r="AH24" s="13" t="inlineStr"/>
      <c r="AI24" s="13" t="inlineStr"/>
      <c r="AJ24" s="14" t="n">
        <v>0</v>
      </c>
      <c r="AK24" s="13" t="inlineStr"/>
      <c r="AL24" s="13" t="inlineStr">
        <is>
          <t>2026-08-25</t>
        </is>
      </c>
      <c r="AM24" s="14" t="n">
        <v>0</v>
      </c>
      <c r="AN24" s="13" t="inlineStr">
        <is>
          <t>não</t>
        </is>
      </c>
      <c r="AO24" s="13" t="inlineStr"/>
      <c r="AP24" s="13" t="inlineStr"/>
      <c r="AQ24" s="13" t="inlineStr">
        <is>
          <t>não</t>
        </is>
      </c>
      <c r="AR24" s="13" t="inlineStr"/>
    </row>
    <row r="25">
      <c r="A25" s="13" t="inlineStr">
        <is>
          <t>Real</t>
        </is>
      </c>
      <c r="B25" s="13" t="inlineStr">
        <is>
          <t>Novo</t>
        </is>
      </c>
      <c r="C25" s="13" t="inlineStr">
        <is>
          <t>Carolina Pereira</t>
        </is>
      </c>
      <c r="D25" s="13" t="inlineStr">
        <is>
          <t>Carolina</t>
        </is>
      </c>
      <c r="E25" s="13" t="inlineStr">
        <is>
          <t>Pereira</t>
        </is>
      </c>
      <c r="F25" s="13" t="inlineStr">
        <is>
          <t>carolina.botelho@braziljournal.com</t>
        </is>
      </c>
      <c r="G25" s="13" t="inlineStr">
        <is>
          <t>sim</t>
        </is>
      </c>
      <c r="H25" s="13" t="inlineStr">
        <is>
          <t>braziljournal.com</t>
        </is>
      </c>
      <c r="I25" s="13" t="inlineStr">
        <is>
          <t>+5511991375461</t>
        </is>
      </c>
      <c r="J25" s="13" t="inlineStr">
        <is>
          <t>2026-08-26 14:15</t>
        </is>
      </c>
      <c r="K25" s="14" t="n">
        <v>1</v>
      </c>
      <c r="L25" s="13" t="inlineStr">
        <is>
          <t>NOT_FOUND</t>
        </is>
      </c>
      <c r="M25" s="13" t="inlineStr"/>
      <c r="N25" s="18" t="inlineStr"/>
      <c r="O25" s="13" t="inlineStr"/>
      <c r="P25" s="14" t="n">
        <v>0</v>
      </c>
      <c r="Q25" s="13" t="inlineStr"/>
      <c r="R25" s="13" t="inlineStr"/>
      <c r="S25" s="13" t="inlineStr"/>
      <c r="T25" s="13" t="inlineStr"/>
      <c r="U25" s="13" t="inlineStr"/>
      <c r="V25" s="13" t="inlineStr"/>
      <c r="W25" s="14" t="inlineStr"/>
      <c r="X25" s="13" t="inlineStr"/>
      <c r="Y25" s="13" t="inlineStr"/>
      <c r="Z25" s="13" t="inlineStr"/>
      <c r="AA25" s="13" t="inlineStr"/>
      <c r="AB25" s="13" t="inlineStr"/>
      <c r="AC25" s="14" t="inlineStr"/>
      <c r="AD25" s="13" t="inlineStr"/>
      <c r="AE25" s="14" t="n">
        <v>0</v>
      </c>
      <c r="AF25" s="13" t="inlineStr"/>
      <c r="AG25" s="13" t="inlineStr"/>
      <c r="AH25" s="13" t="inlineStr"/>
      <c r="AI25" s="13" t="inlineStr"/>
      <c r="AJ25" s="14" t="n">
        <v>0</v>
      </c>
      <c r="AK25" s="13" t="inlineStr"/>
      <c r="AL25" s="13" t="inlineStr">
        <is>
          <t>2026-08-26</t>
        </is>
      </c>
      <c r="AM25" s="14" t="n">
        <v>0</v>
      </c>
      <c r="AN25" s="13" t="inlineStr">
        <is>
          <t>não</t>
        </is>
      </c>
      <c r="AO25" s="13" t="inlineStr"/>
      <c r="AP25" s="13" t="inlineStr"/>
      <c r="AQ25" s="13" t="inlineStr">
        <is>
          <t>não</t>
        </is>
      </c>
      <c r="AR25" s="13" t="inlineStr"/>
    </row>
    <row r="26">
      <c r="A26" s="13" t="inlineStr">
        <is>
          <t>Real</t>
        </is>
      </c>
      <c r="B26" s="13" t="inlineStr">
        <is>
          <t>Novo</t>
        </is>
      </c>
      <c r="C26" s="13" t="inlineStr">
        <is>
          <t>Daiane Carvalho</t>
        </is>
      </c>
      <c r="D26" s="13" t="inlineStr">
        <is>
          <t>Daiane</t>
        </is>
      </c>
      <c r="E26" s="13" t="inlineStr">
        <is>
          <t>Carvalho</t>
        </is>
      </c>
      <c r="F26" s="13" t="inlineStr">
        <is>
          <t>daiane.sacc@gmail.com</t>
        </is>
      </c>
      <c r="G26" s="13" t="inlineStr">
        <is>
          <t>não</t>
        </is>
      </c>
      <c r="H26" s="13" t="inlineStr">
        <is>
          <t>gmail.com</t>
        </is>
      </c>
      <c r="I26" s="13" t="inlineStr">
        <is>
          <t>+5511969116674</t>
        </is>
      </c>
      <c r="J26" s="13" t="inlineStr">
        <is>
          <t>2026-08-25 23:52</t>
        </is>
      </c>
      <c r="K26" s="14" t="n">
        <v>1</v>
      </c>
      <c r="L26" s="13" t="inlineStr">
        <is>
          <t>NOT_FOUND</t>
        </is>
      </c>
      <c r="M26" s="13" t="inlineStr"/>
      <c r="N26" s="18" t="inlineStr"/>
      <c r="O26" s="13" t="inlineStr"/>
      <c r="P26" s="14" t="n">
        <v>0</v>
      </c>
      <c r="Q26" s="13" t="inlineStr"/>
      <c r="R26" s="13" t="inlineStr"/>
      <c r="S26" s="13" t="inlineStr"/>
      <c r="T26" s="13" t="inlineStr"/>
      <c r="U26" s="13" t="inlineStr"/>
      <c r="V26" s="13" t="inlineStr"/>
      <c r="W26" s="14" t="inlineStr"/>
      <c r="X26" s="13" t="inlineStr"/>
      <c r="Y26" s="13" t="inlineStr"/>
      <c r="Z26" s="13" t="inlineStr"/>
      <c r="AA26" s="13" t="inlineStr"/>
      <c r="AB26" s="13" t="inlineStr"/>
      <c r="AC26" s="14" t="inlineStr"/>
      <c r="AD26" s="13" t="inlineStr"/>
      <c r="AE26" s="14" t="n">
        <v>0</v>
      </c>
      <c r="AF26" s="13" t="inlineStr"/>
      <c r="AG26" s="13" t="inlineStr"/>
      <c r="AH26" s="13" t="inlineStr"/>
      <c r="AI26" s="13" t="inlineStr"/>
      <c r="AJ26" s="14" t="n">
        <v>0</v>
      </c>
      <c r="AK26" s="13" t="inlineStr"/>
      <c r="AL26" s="13" t="inlineStr">
        <is>
          <t>2026-08-25</t>
        </is>
      </c>
      <c r="AM26" s="14" t="n">
        <v>0</v>
      </c>
      <c r="AN26" s="13" t="inlineStr">
        <is>
          <t>não</t>
        </is>
      </c>
      <c r="AO26" s="13" t="inlineStr"/>
      <c r="AP26" s="13" t="inlineStr"/>
      <c r="AQ26" s="13" t="inlineStr">
        <is>
          <t>não</t>
        </is>
      </c>
      <c r="AR26" s="13" t="inlineStr"/>
    </row>
    <row r="27">
      <c r="A27" s="13" t="inlineStr">
        <is>
          <t>Real</t>
        </is>
      </c>
      <c r="B27" s="13" t="inlineStr">
        <is>
          <t>Novo</t>
        </is>
      </c>
      <c r="C27" s="13" t="inlineStr">
        <is>
          <t>diogo moraes</t>
        </is>
      </c>
      <c r="D27" s="13" t="inlineStr">
        <is>
          <t>diogo</t>
        </is>
      </c>
      <c r="E27" s="13" t="inlineStr">
        <is>
          <t>moraes</t>
        </is>
      </c>
      <c r="F27" s="13" t="inlineStr">
        <is>
          <t>diogomoraes08@icloud.com</t>
        </is>
      </c>
      <c r="G27" s="13" t="inlineStr">
        <is>
          <t>não</t>
        </is>
      </c>
      <c r="H27" s="13" t="inlineStr">
        <is>
          <t>icloud.com</t>
        </is>
      </c>
      <c r="I27" s="13" t="inlineStr">
        <is>
          <t>+5516992584779</t>
        </is>
      </c>
      <c r="J27" s="13" t="inlineStr">
        <is>
          <t>2026-08-25 13:00</t>
        </is>
      </c>
      <c r="K27" s="14" t="n">
        <v>1</v>
      </c>
      <c r="L27" s="13" t="inlineStr">
        <is>
          <t>NOT_FOUND</t>
        </is>
      </c>
      <c r="M27" s="13" t="inlineStr"/>
      <c r="N27" s="18" t="inlineStr"/>
      <c r="O27" s="13" t="inlineStr"/>
      <c r="P27" s="14" t="n">
        <v>0</v>
      </c>
      <c r="Q27" s="13" t="inlineStr"/>
      <c r="R27" s="13" t="inlineStr"/>
      <c r="S27" s="13" t="inlineStr"/>
      <c r="T27" s="13" t="inlineStr"/>
      <c r="U27" s="13" t="inlineStr"/>
      <c r="V27" s="13" t="inlineStr"/>
      <c r="W27" s="14" t="inlineStr"/>
      <c r="X27" s="13" t="inlineStr"/>
      <c r="Y27" s="13" t="inlineStr"/>
      <c r="Z27" s="13" t="inlineStr"/>
      <c r="AA27" s="13" t="inlineStr"/>
      <c r="AB27" s="13" t="inlineStr"/>
      <c r="AC27" s="14" t="inlineStr"/>
      <c r="AD27" s="13" t="inlineStr"/>
      <c r="AE27" s="14" t="n">
        <v>0</v>
      </c>
      <c r="AF27" s="13" t="inlineStr"/>
      <c r="AG27" s="13" t="inlineStr"/>
      <c r="AH27" s="13" t="inlineStr"/>
      <c r="AI27" s="13" t="inlineStr"/>
      <c r="AJ27" s="14" t="n">
        <v>0</v>
      </c>
      <c r="AK27" s="13" t="inlineStr"/>
      <c r="AL27" s="13" t="inlineStr">
        <is>
          <t>2026-08-25</t>
        </is>
      </c>
      <c r="AM27" s="14" t="n">
        <v>0</v>
      </c>
      <c r="AN27" s="13" t="inlineStr">
        <is>
          <t>não</t>
        </is>
      </c>
      <c r="AO27" s="13" t="inlineStr"/>
      <c r="AP27" s="13" t="inlineStr"/>
      <c r="AQ27" s="13" t="inlineStr">
        <is>
          <t>não</t>
        </is>
      </c>
      <c r="AR27" s="13" t="inlineStr"/>
    </row>
    <row r="28">
      <c r="A28" s="13" t="inlineStr">
        <is>
          <t>Real</t>
        </is>
      </c>
      <c r="B28" s="13" t="inlineStr">
        <is>
          <t>Novo</t>
        </is>
      </c>
      <c r="C28" s="13" t="inlineStr">
        <is>
          <t>Débora Cristine Barboza da Matta</t>
        </is>
      </c>
      <c r="D28" s="13" t="inlineStr">
        <is>
          <t>Débora Cristine</t>
        </is>
      </c>
      <c r="E28" s="13" t="inlineStr">
        <is>
          <t>Barboza da Matta</t>
        </is>
      </c>
      <c r="F28" s="13" t="inlineStr">
        <is>
          <t>debsbarboza19@gmail.com</t>
        </is>
      </c>
      <c r="G28" s="13" t="inlineStr">
        <is>
          <t>não</t>
        </is>
      </c>
      <c r="H28" s="13" t="inlineStr">
        <is>
          <t>gmail.com</t>
        </is>
      </c>
      <c r="I28" s="13" t="inlineStr">
        <is>
          <t>+5581999737424</t>
        </is>
      </c>
      <c r="J28" s="13" t="inlineStr">
        <is>
          <t>2026-08-25 13:47</t>
        </is>
      </c>
      <c r="K28" s="14" t="n">
        <v>1</v>
      </c>
      <c r="L28" s="13" t="inlineStr">
        <is>
          <t>NOT_FOUND</t>
        </is>
      </c>
      <c r="M28" s="13" t="inlineStr"/>
      <c r="N28" s="18" t="inlineStr"/>
      <c r="O28" s="13" t="inlineStr"/>
      <c r="P28" s="14" t="n">
        <v>0</v>
      </c>
      <c r="Q28" s="13" t="inlineStr"/>
      <c r="R28" s="13" t="inlineStr"/>
      <c r="S28" s="13" t="inlineStr"/>
      <c r="T28" s="13" t="inlineStr"/>
      <c r="U28" s="13" t="inlineStr"/>
      <c r="V28" s="13" t="inlineStr"/>
      <c r="W28" s="14" t="inlineStr"/>
      <c r="X28" s="13" t="inlineStr"/>
      <c r="Y28" s="13" t="inlineStr"/>
      <c r="Z28" s="13" t="inlineStr"/>
      <c r="AA28" s="13" t="inlineStr"/>
      <c r="AB28" s="13" t="inlineStr"/>
      <c r="AC28" s="14" t="inlineStr"/>
      <c r="AD28" s="13" t="inlineStr"/>
      <c r="AE28" s="14" t="n">
        <v>0</v>
      </c>
      <c r="AF28" s="13" t="inlineStr"/>
      <c r="AG28" s="13" t="inlineStr"/>
      <c r="AH28" s="13" t="inlineStr"/>
      <c r="AI28" s="13" t="inlineStr"/>
      <c r="AJ28" s="14" t="n">
        <v>0</v>
      </c>
      <c r="AK28" s="13" t="inlineStr"/>
      <c r="AL28" s="13" t="inlineStr">
        <is>
          <t>2026-08-25</t>
        </is>
      </c>
      <c r="AM28" s="14" t="n">
        <v>0</v>
      </c>
      <c r="AN28" s="13" t="inlineStr">
        <is>
          <t>não</t>
        </is>
      </c>
      <c r="AO28" s="13" t="inlineStr"/>
      <c r="AP28" s="13" t="inlineStr"/>
      <c r="AQ28" s="13" t="inlineStr">
        <is>
          <t>não</t>
        </is>
      </c>
      <c r="AR28" s="13" t="inlineStr"/>
    </row>
    <row r="29">
      <c r="A29" s="13" t="inlineStr">
        <is>
          <t>Real</t>
        </is>
      </c>
      <c r="B29" s="13" t="inlineStr">
        <is>
          <t>Novo</t>
        </is>
      </c>
      <c r="C29" s="13" t="inlineStr">
        <is>
          <t>Eduardo Moura</t>
        </is>
      </c>
      <c r="D29" s="13" t="inlineStr">
        <is>
          <t>Eduardo</t>
        </is>
      </c>
      <c r="E29" s="13" t="inlineStr">
        <is>
          <t>Moura</t>
        </is>
      </c>
      <c r="F29" s="13" t="inlineStr">
        <is>
          <t>eduardo@savessaude.com.br</t>
        </is>
      </c>
      <c r="G29" s="13" t="inlineStr">
        <is>
          <t>sim</t>
        </is>
      </c>
      <c r="H29" s="13" t="inlineStr">
        <is>
          <t>savessaude.com.br</t>
        </is>
      </c>
      <c r="I29" s="13" t="inlineStr">
        <is>
          <t>+5511978253731</t>
        </is>
      </c>
      <c r="J29" s="13" t="inlineStr">
        <is>
          <t>2026-08-25 14:03</t>
        </is>
      </c>
      <c r="K29" s="14" t="n">
        <v>1</v>
      </c>
      <c r="L29" s="13" t="inlineStr">
        <is>
          <t>NOT_FOUND</t>
        </is>
      </c>
      <c r="M29" s="13" t="inlineStr"/>
      <c r="N29" s="18" t="inlineStr"/>
      <c r="O29" s="13" t="inlineStr"/>
      <c r="P29" s="14" t="n">
        <v>0</v>
      </c>
      <c r="Q29" s="13" t="inlineStr"/>
      <c r="R29" s="13" t="inlineStr"/>
      <c r="S29" s="13" t="inlineStr"/>
      <c r="T29" s="13" t="inlineStr"/>
      <c r="U29" s="13" t="inlineStr"/>
      <c r="V29" s="13" t="inlineStr"/>
      <c r="W29" s="14" t="inlineStr"/>
      <c r="X29" s="13" t="inlineStr"/>
      <c r="Y29" s="13" t="inlineStr"/>
      <c r="Z29" s="13" t="inlineStr"/>
      <c r="AA29" s="13" t="inlineStr"/>
      <c r="AB29" s="13" t="inlineStr"/>
      <c r="AC29" s="14" t="inlineStr"/>
      <c r="AD29" s="13" t="inlineStr"/>
      <c r="AE29" s="14" t="n">
        <v>0</v>
      </c>
      <c r="AF29" s="13" t="inlineStr"/>
      <c r="AG29" s="13" t="inlineStr"/>
      <c r="AH29" s="13" t="inlineStr"/>
      <c r="AI29" s="13" t="inlineStr"/>
      <c r="AJ29" s="14" t="n">
        <v>0</v>
      </c>
      <c r="AK29" s="13" t="inlineStr"/>
      <c r="AL29" s="13" t="inlineStr">
        <is>
          <t>2026-08-25</t>
        </is>
      </c>
      <c r="AM29" s="14" t="n">
        <v>0</v>
      </c>
      <c r="AN29" s="13" t="inlineStr">
        <is>
          <t>não</t>
        </is>
      </c>
      <c r="AO29" s="13" t="inlineStr"/>
      <c r="AP29" s="13" t="inlineStr"/>
      <c r="AQ29" s="13" t="inlineStr">
        <is>
          <t>não</t>
        </is>
      </c>
      <c r="AR29" s="13" t="inlineStr"/>
    </row>
    <row r="30">
      <c r="A30" s="13" t="inlineStr">
        <is>
          <t>Real</t>
        </is>
      </c>
      <c r="B30" s="13" t="inlineStr">
        <is>
          <t>Novo</t>
        </is>
      </c>
      <c r="C30" s="13" t="inlineStr">
        <is>
          <t>Fabiana Bittencourt</t>
        </is>
      </c>
      <c r="D30" s="13" t="inlineStr">
        <is>
          <t>Fabiana</t>
        </is>
      </c>
      <c r="E30" s="13" t="inlineStr">
        <is>
          <t>Bittencourt</t>
        </is>
      </c>
      <c r="F30" s="13" t="inlineStr">
        <is>
          <t>bittencourt.sfabiana@gmail.com</t>
        </is>
      </c>
      <c r="G30" s="13" t="inlineStr">
        <is>
          <t>não</t>
        </is>
      </c>
      <c r="H30" s="13" t="inlineStr">
        <is>
          <t>gmail.com</t>
        </is>
      </c>
      <c r="I30" s="13" t="inlineStr">
        <is>
          <t>+5511970393535</t>
        </is>
      </c>
      <c r="J30" s="13" t="inlineStr">
        <is>
          <t>2026-08-25 22:01</t>
        </is>
      </c>
      <c r="K30" s="14" t="n">
        <v>1</v>
      </c>
      <c r="L30" s="13" t="inlineStr">
        <is>
          <t>NOT_FOUND</t>
        </is>
      </c>
      <c r="M30" s="13" t="inlineStr"/>
      <c r="N30" s="18" t="inlineStr"/>
      <c r="O30" s="13" t="inlineStr"/>
      <c r="P30" s="14" t="n">
        <v>0</v>
      </c>
      <c r="Q30" s="13" t="inlineStr"/>
      <c r="R30" s="13" t="inlineStr"/>
      <c r="S30" s="13" t="inlineStr"/>
      <c r="T30" s="13" t="inlineStr"/>
      <c r="U30" s="13" t="inlineStr"/>
      <c r="V30" s="13" t="inlineStr"/>
      <c r="W30" s="14" t="inlineStr"/>
      <c r="X30" s="13" t="inlineStr"/>
      <c r="Y30" s="13" t="inlineStr"/>
      <c r="Z30" s="13" t="inlineStr"/>
      <c r="AA30" s="13" t="inlineStr"/>
      <c r="AB30" s="13" t="inlineStr"/>
      <c r="AC30" s="14" t="inlineStr"/>
      <c r="AD30" s="13" t="inlineStr"/>
      <c r="AE30" s="14" t="n">
        <v>0</v>
      </c>
      <c r="AF30" s="13" t="inlineStr"/>
      <c r="AG30" s="13" t="inlineStr"/>
      <c r="AH30" s="13" t="inlineStr"/>
      <c r="AI30" s="13" t="inlineStr"/>
      <c r="AJ30" s="14" t="n">
        <v>0</v>
      </c>
      <c r="AK30" s="13" t="inlineStr"/>
      <c r="AL30" s="13" t="inlineStr">
        <is>
          <t>2026-08-25</t>
        </is>
      </c>
      <c r="AM30" s="14" t="n">
        <v>0</v>
      </c>
      <c r="AN30" s="13" t="inlineStr">
        <is>
          <t>não</t>
        </is>
      </c>
      <c r="AO30" s="13" t="inlineStr"/>
      <c r="AP30" s="13" t="inlineStr"/>
      <c r="AQ30" s="13" t="inlineStr">
        <is>
          <t>não</t>
        </is>
      </c>
      <c r="AR30" s="13" t="inlineStr"/>
    </row>
    <row r="31">
      <c r="A31" s="13" t="inlineStr">
        <is>
          <t>Real</t>
        </is>
      </c>
      <c r="B31" s="13" t="inlineStr">
        <is>
          <t>Novo</t>
        </is>
      </c>
      <c r="C31" s="13" t="inlineStr">
        <is>
          <t>Flavia de Almeida</t>
        </is>
      </c>
      <c r="D31" s="13" t="inlineStr">
        <is>
          <t>Flavia</t>
        </is>
      </c>
      <c r="E31" s="13" t="inlineStr">
        <is>
          <t>de Almeida</t>
        </is>
      </c>
      <c r="F31" s="13" t="inlineStr">
        <is>
          <t>comercialflavianunes@gmail.com</t>
        </is>
      </c>
      <c r="G31" s="13" t="inlineStr">
        <is>
          <t>não</t>
        </is>
      </c>
      <c r="H31" s="13" t="inlineStr">
        <is>
          <t>gmail.com</t>
        </is>
      </c>
      <c r="I31" s="13" t="inlineStr">
        <is>
          <t>+5521988982808</t>
        </is>
      </c>
      <c r="J31" s="13" t="inlineStr">
        <is>
          <t>2026-08-25 16:53</t>
        </is>
      </c>
      <c r="K31" s="14" t="n">
        <v>1</v>
      </c>
      <c r="L31" s="13" t="inlineStr">
        <is>
          <t>NOT_FOUND</t>
        </is>
      </c>
      <c r="M31" s="13" t="inlineStr"/>
      <c r="N31" s="18" t="inlineStr"/>
      <c r="O31" s="13" t="inlineStr"/>
      <c r="P31" s="14" t="n">
        <v>0</v>
      </c>
      <c r="Q31" s="13" t="inlineStr"/>
      <c r="R31" s="13" t="inlineStr"/>
      <c r="S31" s="13" t="inlineStr"/>
      <c r="T31" s="13" t="inlineStr"/>
      <c r="U31" s="13" t="inlineStr"/>
      <c r="V31" s="13" t="inlineStr"/>
      <c r="W31" s="14" t="inlineStr"/>
      <c r="X31" s="13" t="inlineStr"/>
      <c r="Y31" s="13" t="inlineStr"/>
      <c r="Z31" s="13" t="inlineStr"/>
      <c r="AA31" s="13" t="inlineStr"/>
      <c r="AB31" s="13" t="inlineStr"/>
      <c r="AC31" s="14" t="inlineStr"/>
      <c r="AD31" s="13" t="inlineStr"/>
      <c r="AE31" s="14" t="n">
        <v>0</v>
      </c>
      <c r="AF31" s="13" t="inlineStr"/>
      <c r="AG31" s="13" t="inlineStr"/>
      <c r="AH31" s="13" t="inlineStr"/>
      <c r="AI31" s="13" t="inlineStr"/>
      <c r="AJ31" s="14" t="n">
        <v>0</v>
      </c>
      <c r="AK31" s="13" t="inlineStr"/>
      <c r="AL31" s="13" t="inlineStr">
        <is>
          <t>2026-08-25</t>
        </is>
      </c>
      <c r="AM31" s="14" t="n">
        <v>0</v>
      </c>
      <c r="AN31" s="13" t="inlineStr">
        <is>
          <t>não</t>
        </is>
      </c>
      <c r="AO31" s="13" t="inlineStr"/>
      <c r="AP31" s="13" t="inlineStr"/>
      <c r="AQ31" s="13" t="inlineStr">
        <is>
          <t>não</t>
        </is>
      </c>
      <c r="AR31" s="13" t="inlineStr"/>
    </row>
    <row r="32">
      <c r="A32" s="13" t="inlineStr">
        <is>
          <t>Real</t>
        </is>
      </c>
      <c r="B32" s="13" t="inlineStr">
        <is>
          <t>Novo</t>
        </is>
      </c>
      <c r="C32" s="13" t="inlineStr">
        <is>
          <t>Flávia Botelho</t>
        </is>
      </c>
      <c r="D32" s="13" t="inlineStr">
        <is>
          <t>Flávia</t>
        </is>
      </c>
      <c r="E32" s="13" t="inlineStr">
        <is>
          <t>Botelho</t>
        </is>
      </c>
      <c r="F32" s="13" t="inlineStr">
        <is>
          <t>fmnbotelho@yahoo.com.br</t>
        </is>
      </c>
      <c r="G32" s="13" t="inlineStr">
        <is>
          <t>não</t>
        </is>
      </c>
      <c r="H32" s="13" t="inlineStr">
        <is>
          <t>yahoo.com.br</t>
        </is>
      </c>
      <c r="I32" s="13" t="inlineStr">
        <is>
          <t>+5511981010822</t>
        </is>
      </c>
      <c r="J32" s="13" t="inlineStr">
        <is>
          <t>2026-08-26 13:30</t>
        </is>
      </c>
      <c r="K32" s="14" t="n">
        <v>1</v>
      </c>
      <c r="L32" s="13" t="inlineStr">
        <is>
          <t>NOT_FOUND</t>
        </is>
      </c>
      <c r="M32" s="13" t="inlineStr"/>
      <c r="N32" s="18" t="inlineStr"/>
      <c r="O32" s="13" t="inlineStr"/>
      <c r="P32" s="14" t="n">
        <v>0</v>
      </c>
      <c r="Q32" s="13" t="inlineStr"/>
      <c r="R32" s="13" t="inlineStr"/>
      <c r="S32" s="13" t="inlineStr"/>
      <c r="T32" s="13" t="inlineStr"/>
      <c r="U32" s="13" t="inlineStr"/>
      <c r="V32" s="13" t="inlineStr"/>
      <c r="W32" s="14" t="inlineStr"/>
      <c r="X32" s="13" t="inlineStr"/>
      <c r="Y32" s="13" t="inlineStr"/>
      <c r="Z32" s="13" t="inlineStr"/>
      <c r="AA32" s="13" t="inlineStr"/>
      <c r="AB32" s="13" t="inlineStr"/>
      <c r="AC32" s="14" t="inlineStr"/>
      <c r="AD32" s="13" t="inlineStr"/>
      <c r="AE32" s="14" t="n">
        <v>0</v>
      </c>
      <c r="AF32" s="13" t="inlineStr"/>
      <c r="AG32" s="13" t="inlineStr"/>
      <c r="AH32" s="13" t="inlineStr"/>
      <c r="AI32" s="13" t="inlineStr"/>
      <c r="AJ32" s="14" t="n">
        <v>0</v>
      </c>
      <c r="AK32" s="13" t="inlineStr"/>
      <c r="AL32" s="13" t="inlineStr">
        <is>
          <t>2026-08-26</t>
        </is>
      </c>
      <c r="AM32" s="14" t="n">
        <v>0</v>
      </c>
      <c r="AN32" s="13" t="inlineStr">
        <is>
          <t>não</t>
        </is>
      </c>
      <c r="AO32" s="13" t="inlineStr"/>
      <c r="AP32" s="13" t="inlineStr"/>
      <c r="AQ32" s="13" t="inlineStr">
        <is>
          <t>não</t>
        </is>
      </c>
      <c r="AR32" s="13" t="inlineStr"/>
    </row>
    <row r="33">
      <c r="A33" s="13" t="inlineStr">
        <is>
          <t>Real</t>
        </is>
      </c>
      <c r="B33" s="13" t="inlineStr">
        <is>
          <t>Novo</t>
        </is>
      </c>
      <c r="C33" s="13" t="inlineStr">
        <is>
          <t>Gage Batista</t>
        </is>
      </c>
      <c r="D33" s="13" t="inlineStr">
        <is>
          <t>Gage</t>
        </is>
      </c>
      <c r="E33" s="13" t="inlineStr">
        <is>
          <t>Batista</t>
        </is>
      </c>
      <c r="F33" s="13" t="inlineStr">
        <is>
          <t>bfagner@hotmail.con</t>
        </is>
      </c>
      <c r="G33" s="13" t="inlineStr">
        <is>
          <t>sim</t>
        </is>
      </c>
      <c r="H33" s="13" t="inlineStr">
        <is>
          <t>hotmail.con</t>
        </is>
      </c>
      <c r="I33" s="13" t="inlineStr">
        <is>
          <t>+5571992867755</t>
        </is>
      </c>
      <c r="J33" s="13" t="inlineStr">
        <is>
          <t>2026-08-25 15:59</t>
        </is>
      </c>
      <c r="K33" s="14" t="n">
        <v>1</v>
      </c>
      <c r="L33" s="13" t="inlineStr">
        <is>
          <t>NOT_FOUND</t>
        </is>
      </c>
      <c r="M33" s="13" t="inlineStr"/>
      <c r="N33" s="18" t="inlineStr"/>
      <c r="O33" s="13" t="inlineStr"/>
      <c r="P33" s="14" t="n">
        <v>0</v>
      </c>
      <c r="Q33" s="13" t="inlineStr"/>
      <c r="R33" s="13" t="inlineStr"/>
      <c r="S33" s="13" t="inlineStr"/>
      <c r="T33" s="13" t="inlineStr"/>
      <c r="U33" s="13" t="inlineStr"/>
      <c r="V33" s="13" t="inlineStr"/>
      <c r="W33" s="14" t="inlineStr"/>
      <c r="X33" s="13" t="inlineStr"/>
      <c r="Y33" s="13" t="inlineStr"/>
      <c r="Z33" s="13" t="inlineStr"/>
      <c r="AA33" s="13" t="inlineStr"/>
      <c r="AB33" s="13" t="inlineStr"/>
      <c r="AC33" s="14" t="inlineStr"/>
      <c r="AD33" s="13" t="inlineStr"/>
      <c r="AE33" s="14" t="n">
        <v>0</v>
      </c>
      <c r="AF33" s="13" t="inlineStr"/>
      <c r="AG33" s="13" t="inlineStr"/>
      <c r="AH33" s="13" t="inlineStr"/>
      <c r="AI33" s="13" t="inlineStr"/>
      <c r="AJ33" s="14" t="n">
        <v>0</v>
      </c>
      <c r="AK33" s="13" t="inlineStr"/>
      <c r="AL33" s="13" t="inlineStr">
        <is>
          <t>2026-08-25</t>
        </is>
      </c>
      <c r="AM33" s="14" t="n">
        <v>0</v>
      </c>
      <c r="AN33" s="13" t="inlineStr">
        <is>
          <t>não</t>
        </is>
      </c>
      <c r="AO33" s="13" t="inlineStr"/>
      <c r="AP33" s="13" t="inlineStr"/>
      <c r="AQ33" s="13" t="inlineStr">
        <is>
          <t>não</t>
        </is>
      </c>
      <c r="AR33" s="13" t="inlineStr"/>
    </row>
    <row r="34">
      <c r="A34" s="13" t="inlineStr">
        <is>
          <t>Real</t>
        </is>
      </c>
      <c r="B34" s="13" t="inlineStr">
        <is>
          <t>Novo</t>
        </is>
      </c>
      <c r="C34" s="13" t="inlineStr">
        <is>
          <t>Grace Kelly De Souza</t>
        </is>
      </c>
      <c r="D34" s="13" t="inlineStr">
        <is>
          <t>Grace Kelly</t>
        </is>
      </c>
      <c r="E34" s="13" t="inlineStr">
        <is>
          <t>De Souza</t>
        </is>
      </c>
      <c r="F34" s="13" t="inlineStr">
        <is>
          <t>grace.kelly27@hotmail.com</t>
        </is>
      </c>
      <c r="G34" s="13" t="inlineStr">
        <is>
          <t>não</t>
        </is>
      </c>
      <c r="H34" s="13" t="inlineStr">
        <is>
          <t>hotmail.com</t>
        </is>
      </c>
      <c r="I34" s="13" t="inlineStr">
        <is>
          <t>+5541991217835</t>
        </is>
      </c>
      <c r="J34" s="13" t="inlineStr">
        <is>
          <t>2026-08-26 13:24</t>
        </is>
      </c>
      <c r="K34" s="14" t="n">
        <v>1</v>
      </c>
      <c r="L34" s="13" t="inlineStr">
        <is>
          <t>NOT_FOUND</t>
        </is>
      </c>
      <c r="M34" s="13" t="inlineStr"/>
      <c r="N34" s="18" t="inlineStr"/>
      <c r="O34" s="13" t="inlineStr"/>
      <c r="P34" s="14" t="n">
        <v>0</v>
      </c>
      <c r="Q34" s="13" t="inlineStr"/>
      <c r="R34" s="13" t="inlineStr"/>
      <c r="S34" s="13" t="inlineStr"/>
      <c r="T34" s="13" t="inlineStr"/>
      <c r="U34" s="13" t="inlineStr"/>
      <c r="V34" s="13" t="inlineStr"/>
      <c r="W34" s="14" t="inlineStr"/>
      <c r="X34" s="13" t="inlineStr"/>
      <c r="Y34" s="13" t="inlineStr"/>
      <c r="Z34" s="13" t="inlineStr"/>
      <c r="AA34" s="13" t="inlineStr"/>
      <c r="AB34" s="13" t="inlineStr"/>
      <c r="AC34" s="14" t="inlineStr"/>
      <c r="AD34" s="13" t="inlineStr"/>
      <c r="AE34" s="14" t="n">
        <v>0</v>
      </c>
      <c r="AF34" s="13" t="inlineStr"/>
      <c r="AG34" s="13" t="inlineStr"/>
      <c r="AH34" s="13" t="inlineStr"/>
      <c r="AI34" s="13" t="inlineStr"/>
      <c r="AJ34" s="14" t="n">
        <v>0</v>
      </c>
      <c r="AK34" s="13" t="inlineStr"/>
      <c r="AL34" s="13" t="inlineStr">
        <is>
          <t>2026-08-26</t>
        </is>
      </c>
      <c r="AM34" s="14" t="n">
        <v>0</v>
      </c>
      <c r="AN34" s="13" t="inlineStr">
        <is>
          <t>não</t>
        </is>
      </c>
      <c r="AO34" s="13" t="inlineStr"/>
      <c r="AP34" s="13" t="inlineStr"/>
      <c r="AQ34" s="13" t="inlineStr">
        <is>
          <t>não</t>
        </is>
      </c>
      <c r="AR34" s="13" t="inlineStr"/>
    </row>
    <row r="35">
      <c r="A35" s="13" t="inlineStr">
        <is>
          <t>Real</t>
        </is>
      </c>
      <c r="B35" s="13" t="inlineStr">
        <is>
          <t>Novo</t>
        </is>
      </c>
      <c r="C35" s="13" t="inlineStr">
        <is>
          <t>Luiz Henrique Ferrari Junkes</t>
        </is>
      </c>
      <c r="D35" s="13" t="inlineStr">
        <is>
          <t>Luiz Henrique</t>
        </is>
      </c>
      <c r="E35" s="13" t="inlineStr">
        <is>
          <t>Ferrari Junkes</t>
        </is>
      </c>
      <c r="F35" s="13" t="inlineStr">
        <is>
          <t>lh.ferrari83@gmail.com</t>
        </is>
      </c>
      <c r="G35" s="13" t="inlineStr">
        <is>
          <t>não</t>
        </is>
      </c>
      <c r="H35" s="13" t="inlineStr">
        <is>
          <t>gmail.com</t>
        </is>
      </c>
      <c r="I35" s="13" t="inlineStr">
        <is>
          <t>+5547988221084</t>
        </is>
      </c>
      <c r="J35" s="13" t="inlineStr">
        <is>
          <t>2026-08-25 13:08</t>
        </is>
      </c>
      <c r="K35" s="14" t="n">
        <v>1</v>
      </c>
      <c r="L35" s="13" t="inlineStr">
        <is>
          <t>NOT_FOUND</t>
        </is>
      </c>
      <c r="M35" s="13" t="inlineStr"/>
      <c r="N35" s="18" t="inlineStr"/>
      <c r="O35" s="13" t="inlineStr"/>
      <c r="P35" s="14" t="n">
        <v>0</v>
      </c>
      <c r="Q35" s="13" t="inlineStr"/>
      <c r="R35" s="13" t="inlineStr"/>
      <c r="S35" s="13" t="inlineStr"/>
      <c r="T35" s="13" t="inlineStr"/>
      <c r="U35" s="13" t="inlineStr"/>
      <c r="V35" s="13" t="inlineStr"/>
      <c r="W35" s="14" t="inlineStr"/>
      <c r="X35" s="13" t="inlineStr"/>
      <c r="Y35" s="13" t="inlineStr"/>
      <c r="Z35" s="13" t="inlineStr"/>
      <c r="AA35" s="13" t="inlineStr"/>
      <c r="AB35" s="13" t="inlineStr"/>
      <c r="AC35" s="14" t="inlineStr"/>
      <c r="AD35" s="13" t="inlineStr"/>
      <c r="AE35" s="14" t="n">
        <v>0</v>
      </c>
      <c r="AF35" s="13" t="inlineStr"/>
      <c r="AG35" s="13" t="inlineStr"/>
      <c r="AH35" s="13" t="inlineStr"/>
      <c r="AI35" s="13" t="inlineStr"/>
      <c r="AJ35" s="14" t="n">
        <v>0</v>
      </c>
      <c r="AK35" s="13" t="inlineStr"/>
      <c r="AL35" s="13" t="inlineStr">
        <is>
          <t>2026-08-25</t>
        </is>
      </c>
      <c r="AM35" s="14" t="n">
        <v>0</v>
      </c>
      <c r="AN35" s="13" t="inlineStr">
        <is>
          <t>não</t>
        </is>
      </c>
      <c r="AO35" s="13" t="inlineStr"/>
      <c r="AP35" s="13" t="inlineStr"/>
      <c r="AQ35" s="13" t="inlineStr">
        <is>
          <t>não</t>
        </is>
      </c>
      <c r="AR35" s="13" t="inlineStr"/>
    </row>
    <row r="36">
      <c r="A36" s="13" t="inlineStr">
        <is>
          <t>Real</t>
        </is>
      </c>
      <c r="B36" s="13" t="inlineStr">
        <is>
          <t>Novo</t>
        </is>
      </c>
      <c r="C36" s="13" t="inlineStr">
        <is>
          <t>Luiz Sobral</t>
        </is>
      </c>
      <c r="D36" s="13" t="inlineStr">
        <is>
          <t>Luiz</t>
        </is>
      </c>
      <c r="E36" s="13" t="inlineStr">
        <is>
          <t>Sobral</t>
        </is>
      </c>
      <c r="F36" s="13" t="inlineStr">
        <is>
          <t>lctsobral@gmail.com</t>
        </is>
      </c>
      <c r="G36" s="13" t="inlineStr">
        <is>
          <t>não</t>
        </is>
      </c>
      <c r="H36" s="13" t="inlineStr">
        <is>
          <t>gmail.com</t>
        </is>
      </c>
      <c r="I36" s="13" t="inlineStr">
        <is>
          <t>+5511986309175</t>
        </is>
      </c>
      <c r="J36" s="13" t="inlineStr">
        <is>
          <t>2026-08-26 09:36</t>
        </is>
      </c>
      <c r="K36" s="14" t="n">
        <v>1</v>
      </c>
      <c r="L36" s="13" t="inlineStr">
        <is>
          <t>NOT_FOUND</t>
        </is>
      </c>
      <c r="M36" s="13" t="inlineStr"/>
      <c r="N36" s="18" t="inlineStr"/>
      <c r="O36" s="13" t="inlineStr"/>
      <c r="P36" s="14" t="n">
        <v>0</v>
      </c>
      <c r="Q36" s="13" t="inlineStr"/>
      <c r="R36" s="13" t="inlineStr"/>
      <c r="S36" s="13" t="inlineStr"/>
      <c r="T36" s="13" t="inlineStr"/>
      <c r="U36" s="13" t="inlineStr"/>
      <c r="V36" s="13" t="inlineStr"/>
      <c r="W36" s="14" t="inlineStr"/>
      <c r="X36" s="13" t="inlineStr"/>
      <c r="Y36" s="13" t="inlineStr"/>
      <c r="Z36" s="13" t="inlineStr"/>
      <c r="AA36" s="13" t="inlineStr"/>
      <c r="AB36" s="13" t="inlineStr"/>
      <c r="AC36" s="14" t="inlineStr"/>
      <c r="AD36" s="13" t="inlineStr"/>
      <c r="AE36" s="14" t="n">
        <v>0</v>
      </c>
      <c r="AF36" s="13" t="inlineStr"/>
      <c r="AG36" s="13" t="inlineStr"/>
      <c r="AH36" s="13" t="inlineStr"/>
      <c r="AI36" s="13" t="inlineStr"/>
      <c r="AJ36" s="14" t="n">
        <v>0</v>
      </c>
      <c r="AK36" s="13" t="inlineStr"/>
      <c r="AL36" s="13" t="inlineStr">
        <is>
          <t>2026-08-26</t>
        </is>
      </c>
      <c r="AM36" s="14" t="n">
        <v>0</v>
      </c>
      <c r="AN36" s="13" t="inlineStr">
        <is>
          <t>não</t>
        </is>
      </c>
      <c r="AO36" s="13" t="inlineStr"/>
      <c r="AP36" s="13" t="inlineStr"/>
      <c r="AQ36" s="13" t="inlineStr">
        <is>
          <t>não</t>
        </is>
      </c>
      <c r="AR36" s="13" t="inlineStr"/>
    </row>
    <row r="37">
      <c r="A37" s="13" t="inlineStr">
        <is>
          <t>Real</t>
        </is>
      </c>
      <c r="B37" s="13" t="inlineStr">
        <is>
          <t>Novo</t>
        </is>
      </c>
      <c r="C37" s="13" t="inlineStr">
        <is>
          <t>Luís Augusto Marcao</t>
        </is>
      </c>
      <c r="D37" s="13" t="inlineStr">
        <is>
          <t>Luís Augusto</t>
        </is>
      </c>
      <c r="E37" s="13" t="inlineStr">
        <is>
          <t>Marcao</t>
        </is>
      </c>
      <c r="F37" s="13" t="inlineStr">
        <is>
          <t>luisamarcao@gmail.com</t>
        </is>
      </c>
      <c r="G37" s="13" t="inlineStr">
        <is>
          <t>não</t>
        </is>
      </c>
      <c r="H37" s="13" t="inlineStr">
        <is>
          <t>gmail.com</t>
        </is>
      </c>
      <c r="I37" s="13" t="inlineStr">
        <is>
          <t>+5562981169638</t>
        </is>
      </c>
      <c r="J37" s="13" t="inlineStr">
        <is>
          <t>2026-08-26 11:41</t>
        </is>
      </c>
      <c r="K37" s="14" t="n">
        <v>2</v>
      </c>
      <c r="L37" s="13" t="inlineStr">
        <is>
          <t>NOT_FOUND</t>
        </is>
      </c>
      <c r="M37" s="13" t="inlineStr"/>
      <c r="N37" s="18" t="inlineStr"/>
      <c r="O37" s="13" t="inlineStr"/>
      <c r="P37" s="14" t="n">
        <v>0</v>
      </c>
      <c r="Q37" s="13" t="inlineStr"/>
      <c r="R37" s="13" t="inlineStr"/>
      <c r="S37" s="13" t="inlineStr"/>
      <c r="T37" s="13" t="inlineStr"/>
      <c r="U37" s="13" t="inlineStr"/>
      <c r="V37" s="13" t="inlineStr"/>
      <c r="W37" s="14" t="inlineStr"/>
      <c r="X37" s="13" t="inlineStr"/>
      <c r="Y37" s="13" t="inlineStr"/>
      <c r="Z37" s="13" t="inlineStr"/>
      <c r="AA37" s="13" t="inlineStr"/>
      <c r="AB37" s="13" t="inlineStr"/>
      <c r="AC37" s="14" t="inlineStr"/>
      <c r="AD37" s="13" t="inlineStr"/>
      <c r="AE37" s="14" t="n">
        <v>0</v>
      </c>
      <c r="AF37" s="13" t="inlineStr"/>
      <c r="AG37" s="13" t="inlineStr"/>
      <c r="AH37" s="13" t="inlineStr"/>
      <c r="AI37" s="13" t="inlineStr"/>
      <c r="AJ37" s="14" t="n">
        <v>0</v>
      </c>
      <c r="AK37" s="13" t="inlineStr"/>
      <c r="AL37" s="13" t="inlineStr">
        <is>
          <t>2026-08-26</t>
        </is>
      </c>
      <c r="AM37" s="14" t="n">
        <v>0</v>
      </c>
      <c r="AN37" s="13" t="inlineStr">
        <is>
          <t>não</t>
        </is>
      </c>
      <c r="AO37" s="13" t="inlineStr"/>
      <c r="AP37" s="13" t="inlineStr"/>
      <c r="AQ37" s="13" t="inlineStr">
        <is>
          <t>não</t>
        </is>
      </c>
      <c r="AR37" s="13" t="inlineStr"/>
    </row>
    <row r="38">
      <c r="A38" s="13" t="inlineStr">
        <is>
          <t>Real</t>
        </is>
      </c>
      <c r="B38" s="13" t="inlineStr">
        <is>
          <t>Novo</t>
        </is>
      </c>
      <c r="C38" s="13" t="inlineStr">
        <is>
          <t>Marina Costa</t>
        </is>
      </c>
      <c r="D38" s="13" t="inlineStr">
        <is>
          <t>Marina</t>
        </is>
      </c>
      <c r="E38" s="13" t="inlineStr">
        <is>
          <t>Costa</t>
        </is>
      </c>
      <c r="F38" s="13" t="inlineStr">
        <is>
          <t>marina@buscaepi.com</t>
        </is>
      </c>
      <c r="G38" s="13" t="inlineStr">
        <is>
          <t>sim</t>
        </is>
      </c>
      <c r="H38" s="13" t="inlineStr">
        <is>
          <t>buscaepi.com</t>
        </is>
      </c>
      <c r="I38" s="13" t="inlineStr">
        <is>
          <t>+5561982004620</t>
        </is>
      </c>
      <c r="J38" s="13" t="inlineStr">
        <is>
          <t>2026-08-25 13:11</t>
        </is>
      </c>
      <c r="K38" s="14" t="n">
        <v>2</v>
      </c>
      <c r="L38" s="13" t="inlineStr">
        <is>
          <t>NOT_FOUND</t>
        </is>
      </c>
      <c r="M38" s="13" t="inlineStr"/>
      <c r="N38" s="18" t="inlineStr"/>
      <c r="O38" s="13" t="inlineStr"/>
      <c r="P38" s="14" t="n">
        <v>0</v>
      </c>
      <c r="Q38" s="13" t="inlineStr"/>
      <c r="R38" s="13" t="inlineStr"/>
      <c r="S38" s="13" t="inlineStr"/>
      <c r="T38" s="13" t="inlineStr"/>
      <c r="U38" s="13" t="inlineStr"/>
      <c r="V38" s="13" t="inlineStr"/>
      <c r="W38" s="14" t="inlineStr"/>
      <c r="X38" s="13" t="inlineStr"/>
      <c r="Y38" s="13" t="inlineStr"/>
      <c r="Z38" s="13" t="inlineStr"/>
      <c r="AA38" s="13" t="inlineStr"/>
      <c r="AB38" s="13" t="inlineStr"/>
      <c r="AC38" s="14" t="inlineStr"/>
      <c r="AD38" s="13" t="inlineStr"/>
      <c r="AE38" s="14" t="n">
        <v>0</v>
      </c>
      <c r="AF38" s="13" t="inlineStr"/>
      <c r="AG38" s="13" t="inlineStr"/>
      <c r="AH38" s="13" t="inlineStr"/>
      <c r="AI38" s="13" t="inlineStr"/>
      <c r="AJ38" s="14" t="n">
        <v>0</v>
      </c>
      <c r="AK38" s="13" t="inlineStr"/>
      <c r="AL38" s="13" t="inlineStr">
        <is>
          <t>2026-08-25</t>
        </is>
      </c>
      <c r="AM38" s="14" t="n">
        <v>0</v>
      </c>
      <c r="AN38" s="13" t="inlineStr">
        <is>
          <t>não</t>
        </is>
      </c>
      <c r="AO38" s="13" t="inlineStr"/>
      <c r="AP38" s="13" t="inlineStr"/>
      <c r="AQ38" s="13" t="inlineStr">
        <is>
          <t>não</t>
        </is>
      </c>
      <c r="AR38" s="13" t="inlineStr"/>
    </row>
    <row r="39">
      <c r="A39" s="13" t="inlineStr">
        <is>
          <t>Real</t>
        </is>
      </c>
      <c r="B39" s="13" t="inlineStr">
        <is>
          <t>Novo</t>
        </is>
      </c>
      <c r="C39" s="13" t="inlineStr">
        <is>
          <t>Marina Medeiros</t>
        </is>
      </c>
      <c r="D39" s="13" t="inlineStr">
        <is>
          <t>Marina</t>
        </is>
      </c>
      <c r="E39" s="13" t="inlineStr">
        <is>
          <t>Medeiros</t>
        </is>
      </c>
      <c r="F39" s="13" t="inlineStr">
        <is>
          <t>marina.medeiros@aurum.com.br</t>
        </is>
      </c>
      <c r="G39" s="13" t="inlineStr">
        <is>
          <t>sim</t>
        </is>
      </c>
      <c r="H39" s="13" t="inlineStr">
        <is>
          <t>aurum.com.br</t>
        </is>
      </c>
      <c r="I39" s="13" t="inlineStr">
        <is>
          <t>+5548998021913</t>
        </is>
      </c>
      <c r="J39" s="13" t="inlineStr">
        <is>
          <t>2026-08-25 13:07</t>
        </is>
      </c>
      <c r="K39" s="14" t="n">
        <v>1</v>
      </c>
      <c r="L39" s="13" t="inlineStr">
        <is>
          <t>NOT_FOUND</t>
        </is>
      </c>
      <c r="M39" s="13" t="inlineStr"/>
      <c r="N39" s="18" t="inlineStr"/>
      <c r="O39" s="13" t="inlineStr"/>
      <c r="P39" s="14" t="n">
        <v>0</v>
      </c>
      <c r="Q39" s="13" t="inlineStr"/>
      <c r="R39" s="13" t="inlineStr"/>
      <c r="S39" s="13" t="inlineStr"/>
      <c r="T39" s="13" t="inlineStr"/>
      <c r="U39" s="13" t="inlineStr"/>
      <c r="V39" s="13" t="inlineStr"/>
      <c r="W39" s="14" t="inlineStr"/>
      <c r="X39" s="13" t="inlineStr"/>
      <c r="Y39" s="13" t="inlineStr"/>
      <c r="Z39" s="13" t="inlineStr"/>
      <c r="AA39" s="13" t="inlineStr"/>
      <c r="AB39" s="13" t="inlineStr"/>
      <c r="AC39" s="14" t="inlineStr"/>
      <c r="AD39" s="13" t="inlineStr"/>
      <c r="AE39" s="14" t="n">
        <v>0</v>
      </c>
      <c r="AF39" s="13" t="inlineStr"/>
      <c r="AG39" s="13" t="inlineStr"/>
      <c r="AH39" s="13" t="inlineStr"/>
      <c r="AI39" s="13" t="inlineStr"/>
      <c r="AJ39" s="14" t="n">
        <v>0</v>
      </c>
      <c r="AK39" s="13" t="inlineStr"/>
      <c r="AL39" s="13" t="inlineStr">
        <is>
          <t>2026-08-25</t>
        </is>
      </c>
      <c r="AM39" s="14" t="n">
        <v>0</v>
      </c>
      <c r="AN39" s="13" t="inlineStr">
        <is>
          <t>não</t>
        </is>
      </c>
      <c r="AO39" s="13" t="inlineStr"/>
      <c r="AP39" s="13" t="inlineStr"/>
      <c r="AQ39" s="13" t="inlineStr">
        <is>
          <t>não</t>
        </is>
      </c>
      <c r="AR39" s="13" t="inlineStr"/>
    </row>
    <row r="40">
      <c r="A40" s="13" t="inlineStr">
        <is>
          <t>Real</t>
        </is>
      </c>
      <c r="B40" s="13" t="inlineStr">
        <is>
          <t>Novo</t>
        </is>
      </c>
      <c r="C40" s="13" t="inlineStr">
        <is>
          <t>Mario Diqs</t>
        </is>
      </c>
      <c r="D40" s="13" t="inlineStr">
        <is>
          <t>Mario</t>
        </is>
      </c>
      <c r="E40" s="13" t="inlineStr">
        <is>
          <t>Diqs</t>
        </is>
      </c>
      <c r="F40" s="13" t="inlineStr">
        <is>
          <t>mario@caju.com.br</t>
        </is>
      </c>
      <c r="G40" s="13" t="inlineStr">
        <is>
          <t>sim</t>
        </is>
      </c>
      <c r="H40" s="13" t="inlineStr">
        <is>
          <t>caju.com.br</t>
        </is>
      </c>
      <c r="I40" s="13" t="inlineStr">
        <is>
          <t>+5582999999999</t>
        </is>
      </c>
      <c r="J40" s="13" t="inlineStr">
        <is>
          <t>2026-08-25 21:43</t>
        </is>
      </c>
      <c r="K40" s="14" t="n">
        <v>1</v>
      </c>
      <c r="L40" s="13" t="inlineStr">
        <is>
          <t>NOT_FOUND</t>
        </is>
      </c>
      <c r="M40" s="13" t="inlineStr"/>
      <c r="N40" s="18" t="inlineStr"/>
      <c r="O40" s="13" t="inlineStr"/>
      <c r="P40" s="14" t="n">
        <v>0</v>
      </c>
      <c r="Q40" s="13" t="inlineStr"/>
      <c r="R40" s="13" t="inlineStr"/>
      <c r="S40" s="13" t="inlineStr"/>
      <c r="T40" s="13" t="inlineStr"/>
      <c r="U40" s="13" t="inlineStr"/>
      <c r="V40" s="13" t="inlineStr"/>
      <c r="W40" s="14" t="inlineStr"/>
      <c r="X40" s="13" t="inlineStr"/>
      <c r="Y40" s="13" t="inlineStr"/>
      <c r="Z40" s="13" t="inlineStr"/>
      <c r="AA40" s="13" t="inlineStr"/>
      <c r="AB40" s="13" t="inlineStr"/>
      <c r="AC40" s="14" t="inlineStr"/>
      <c r="AD40" s="13" t="inlineStr"/>
      <c r="AE40" s="14" t="n">
        <v>0</v>
      </c>
      <c r="AF40" s="13" t="inlineStr"/>
      <c r="AG40" s="13" t="inlineStr"/>
      <c r="AH40" s="13" t="inlineStr"/>
      <c r="AI40" s="13" t="inlineStr"/>
      <c r="AJ40" s="14" t="n">
        <v>0</v>
      </c>
      <c r="AK40" s="13" t="inlineStr"/>
      <c r="AL40" s="13" t="inlineStr">
        <is>
          <t>2026-08-25</t>
        </is>
      </c>
      <c r="AM40" s="14" t="n">
        <v>0</v>
      </c>
      <c r="AN40" s="13" t="inlineStr">
        <is>
          <t>não</t>
        </is>
      </c>
      <c r="AO40" s="13" t="inlineStr"/>
      <c r="AP40" s="13" t="inlineStr"/>
      <c r="AQ40" s="13" t="inlineStr">
        <is>
          <t>não</t>
        </is>
      </c>
      <c r="AR40" s="13" t="inlineStr"/>
    </row>
    <row r="41">
      <c r="A41" s="13" t="inlineStr">
        <is>
          <t>Real</t>
        </is>
      </c>
      <c r="B41" s="13" t="inlineStr">
        <is>
          <t>Novo</t>
        </is>
      </c>
      <c r="C41" s="13" t="inlineStr">
        <is>
          <t>Matheus Mazza</t>
        </is>
      </c>
      <c r="D41" s="13" t="inlineStr">
        <is>
          <t>Matheus</t>
        </is>
      </c>
      <c r="E41" s="13" t="inlineStr">
        <is>
          <t>Mazza</t>
        </is>
      </c>
      <c r="F41" s="13" t="inlineStr">
        <is>
          <t>matheus.mazza@rabbot.co</t>
        </is>
      </c>
      <c r="G41" s="13" t="inlineStr">
        <is>
          <t>sim</t>
        </is>
      </c>
      <c r="H41" s="13" t="inlineStr">
        <is>
          <t>rabbot.co</t>
        </is>
      </c>
      <c r="I41" s="13" t="inlineStr">
        <is>
          <t>+5511965810818</t>
        </is>
      </c>
      <c r="J41" s="13" t="inlineStr">
        <is>
          <t>2026-08-26 09:40</t>
        </is>
      </c>
      <c r="K41" s="14" t="n">
        <v>1</v>
      </c>
      <c r="L41" s="13" t="inlineStr">
        <is>
          <t>NOT_FOUND</t>
        </is>
      </c>
      <c r="M41" s="13" t="inlineStr"/>
      <c r="N41" s="18" t="inlineStr"/>
      <c r="O41" s="13" t="inlineStr"/>
      <c r="P41" s="14" t="n">
        <v>0</v>
      </c>
      <c r="Q41" s="13" t="inlineStr"/>
      <c r="R41" s="13" t="inlineStr"/>
      <c r="S41" s="13" t="inlineStr"/>
      <c r="T41" s="13" t="inlineStr"/>
      <c r="U41" s="13" t="inlineStr"/>
      <c r="V41" s="13" t="inlineStr"/>
      <c r="W41" s="14" t="inlineStr"/>
      <c r="X41" s="13" t="inlineStr"/>
      <c r="Y41" s="13" t="inlineStr"/>
      <c r="Z41" s="13" t="inlineStr"/>
      <c r="AA41" s="13" t="inlineStr"/>
      <c r="AB41" s="13" t="inlineStr"/>
      <c r="AC41" s="14" t="inlineStr"/>
      <c r="AD41" s="13" t="inlineStr"/>
      <c r="AE41" s="14" t="n">
        <v>0</v>
      </c>
      <c r="AF41" s="13" t="inlineStr"/>
      <c r="AG41" s="13" t="inlineStr"/>
      <c r="AH41" s="13" t="inlineStr"/>
      <c r="AI41" s="13" t="inlineStr"/>
      <c r="AJ41" s="14" t="n">
        <v>0</v>
      </c>
      <c r="AK41" s="13" t="inlineStr"/>
      <c r="AL41" s="13" t="inlineStr">
        <is>
          <t>2026-08-26</t>
        </is>
      </c>
      <c r="AM41" s="14" t="n">
        <v>0</v>
      </c>
      <c r="AN41" s="13" t="inlineStr">
        <is>
          <t>não</t>
        </is>
      </c>
      <c r="AO41" s="13" t="inlineStr"/>
      <c r="AP41" s="13" t="inlineStr"/>
      <c r="AQ41" s="13" t="inlineStr">
        <is>
          <t>não</t>
        </is>
      </c>
      <c r="AR41" s="13" t="inlineStr"/>
    </row>
    <row r="42">
      <c r="A42" s="13" t="inlineStr">
        <is>
          <t>Real</t>
        </is>
      </c>
      <c r="B42" s="13" t="inlineStr">
        <is>
          <t>Novo</t>
        </is>
      </c>
      <c r="C42" s="13" t="inlineStr">
        <is>
          <t>Mauro Bornhofen</t>
        </is>
      </c>
      <c r="D42" s="13" t="inlineStr">
        <is>
          <t>Mauro</t>
        </is>
      </c>
      <c r="E42" s="13" t="inlineStr">
        <is>
          <t>Bornhofen</t>
        </is>
      </c>
      <c r="F42" s="13" t="inlineStr">
        <is>
          <t>maurob@terra.com.br</t>
        </is>
      </c>
      <c r="G42" s="13" t="inlineStr">
        <is>
          <t>não</t>
        </is>
      </c>
      <c r="H42" s="13" t="inlineStr">
        <is>
          <t>terra.com.br</t>
        </is>
      </c>
      <c r="I42" s="13" t="inlineStr">
        <is>
          <t>+5527992530000</t>
        </is>
      </c>
      <c r="J42" s="13" t="inlineStr">
        <is>
          <t>2026-08-25 13:03</t>
        </is>
      </c>
      <c r="K42" s="14" t="n">
        <v>1</v>
      </c>
      <c r="L42" s="13" t="inlineStr">
        <is>
          <t>NOT_FOUND</t>
        </is>
      </c>
      <c r="M42" s="13" t="inlineStr"/>
      <c r="N42" s="18" t="inlineStr"/>
      <c r="O42" s="13" t="inlineStr"/>
      <c r="P42" s="14" t="n">
        <v>0</v>
      </c>
      <c r="Q42" s="13" t="inlineStr"/>
      <c r="R42" s="13" t="inlineStr"/>
      <c r="S42" s="13" t="inlineStr"/>
      <c r="T42" s="13" t="inlineStr"/>
      <c r="U42" s="13" t="inlineStr"/>
      <c r="V42" s="13" t="inlineStr"/>
      <c r="W42" s="14" t="inlineStr"/>
      <c r="X42" s="13" t="inlineStr"/>
      <c r="Y42" s="13" t="inlineStr"/>
      <c r="Z42" s="13" t="inlineStr"/>
      <c r="AA42" s="13" t="inlineStr"/>
      <c r="AB42" s="13" t="inlineStr"/>
      <c r="AC42" s="14" t="inlineStr"/>
      <c r="AD42" s="13" t="inlineStr"/>
      <c r="AE42" s="14" t="n">
        <v>0</v>
      </c>
      <c r="AF42" s="13" t="inlineStr"/>
      <c r="AG42" s="13" t="inlineStr"/>
      <c r="AH42" s="13" t="inlineStr"/>
      <c r="AI42" s="13" t="inlineStr"/>
      <c r="AJ42" s="14" t="n">
        <v>0</v>
      </c>
      <c r="AK42" s="13" t="inlineStr"/>
      <c r="AL42" s="13" t="inlineStr">
        <is>
          <t>2026-08-25</t>
        </is>
      </c>
      <c r="AM42" s="14" t="n">
        <v>0</v>
      </c>
      <c r="AN42" s="13" t="inlineStr">
        <is>
          <t>não</t>
        </is>
      </c>
      <c r="AO42" s="13" t="inlineStr"/>
      <c r="AP42" s="13" t="inlineStr"/>
      <c r="AQ42" s="13" t="inlineStr">
        <is>
          <t>não</t>
        </is>
      </c>
      <c r="AR42" s="13" t="inlineStr"/>
    </row>
    <row r="43">
      <c r="A43" s="13" t="inlineStr">
        <is>
          <t>Real</t>
        </is>
      </c>
      <c r="B43" s="13" t="inlineStr">
        <is>
          <t>Novo</t>
        </is>
      </c>
      <c r="C43" s="13" t="inlineStr">
        <is>
          <t>Maxuel barbosa</t>
        </is>
      </c>
      <c r="D43" s="13" t="inlineStr">
        <is>
          <t>Maxuel</t>
        </is>
      </c>
      <c r="E43" s="13" t="inlineStr">
        <is>
          <t>barbosa</t>
        </is>
      </c>
      <c r="F43" s="13" t="inlineStr">
        <is>
          <t>maxuel.barbosa@gmail.com</t>
        </is>
      </c>
      <c r="G43" s="13" t="inlineStr">
        <is>
          <t>não</t>
        </is>
      </c>
      <c r="H43" s="13" t="inlineStr">
        <is>
          <t>gmail.com</t>
        </is>
      </c>
      <c r="I43" s="13" t="inlineStr">
        <is>
          <t>+5562991917830</t>
        </is>
      </c>
      <c r="J43" s="13" t="inlineStr">
        <is>
          <t>2026-08-25 13:35</t>
        </is>
      </c>
      <c r="K43" s="14" t="n">
        <v>1</v>
      </c>
      <c r="L43" s="13" t="inlineStr">
        <is>
          <t>NOT_FOUND</t>
        </is>
      </c>
      <c r="M43" s="13" t="inlineStr"/>
      <c r="N43" s="18" t="inlineStr"/>
      <c r="O43" s="13" t="inlineStr"/>
      <c r="P43" s="14" t="n">
        <v>0</v>
      </c>
      <c r="Q43" s="13" t="inlineStr"/>
      <c r="R43" s="13" t="inlineStr"/>
      <c r="S43" s="13" t="inlineStr"/>
      <c r="T43" s="13" t="inlineStr"/>
      <c r="U43" s="13" t="inlineStr"/>
      <c r="V43" s="13" t="inlineStr"/>
      <c r="W43" s="14" t="inlineStr"/>
      <c r="X43" s="13" t="inlineStr"/>
      <c r="Y43" s="13" t="inlineStr"/>
      <c r="Z43" s="13" t="inlineStr"/>
      <c r="AA43" s="13" t="inlineStr"/>
      <c r="AB43" s="13" t="inlineStr"/>
      <c r="AC43" s="14" t="inlineStr"/>
      <c r="AD43" s="13" t="inlineStr"/>
      <c r="AE43" s="14" t="n">
        <v>0</v>
      </c>
      <c r="AF43" s="13" t="inlineStr"/>
      <c r="AG43" s="13" t="inlineStr"/>
      <c r="AH43" s="13" t="inlineStr"/>
      <c r="AI43" s="13" t="inlineStr"/>
      <c r="AJ43" s="14" t="n">
        <v>0</v>
      </c>
      <c r="AK43" s="13" t="inlineStr"/>
      <c r="AL43" s="13" t="inlineStr">
        <is>
          <t>2026-08-25</t>
        </is>
      </c>
      <c r="AM43" s="14" t="n">
        <v>0</v>
      </c>
      <c r="AN43" s="13" t="inlineStr">
        <is>
          <t>não</t>
        </is>
      </c>
      <c r="AO43" s="13" t="inlineStr"/>
      <c r="AP43" s="13" t="inlineStr"/>
      <c r="AQ43" s="13" t="inlineStr">
        <is>
          <t>não</t>
        </is>
      </c>
      <c r="AR43" s="13" t="inlineStr"/>
    </row>
    <row r="44">
      <c r="A44" s="13" t="inlineStr">
        <is>
          <t>Real</t>
        </is>
      </c>
      <c r="B44" s="13" t="inlineStr">
        <is>
          <t>Novo</t>
        </is>
      </c>
      <c r="C44" s="13" t="inlineStr">
        <is>
          <t>Mohamad Anissi</t>
        </is>
      </c>
      <c r="D44" s="13" t="inlineStr">
        <is>
          <t>Mohamad</t>
        </is>
      </c>
      <c r="E44" s="13" t="inlineStr">
        <is>
          <t>Anissi</t>
        </is>
      </c>
      <c r="F44" s="13" t="inlineStr">
        <is>
          <t>hamudi.anissi@hotmail.com</t>
        </is>
      </c>
      <c r="G44" s="13" t="inlineStr">
        <is>
          <t>não</t>
        </is>
      </c>
      <c r="H44" s="13" t="inlineStr">
        <is>
          <t>hotmail.com</t>
        </is>
      </c>
      <c r="I44" s="13" t="inlineStr">
        <is>
          <t>+5511987553558</t>
        </is>
      </c>
      <c r="J44" s="13" t="inlineStr">
        <is>
          <t>2026-08-25 13:32</t>
        </is>
      </c>
      <c r="K44" s="14" t="n">
        <v>1</v>
      </c>
      <c r="L44" s="13" t="inlineStr">
        <is>
          <t>NOT_FOUND</t>
        </is>
      </c>
      <c r="M44" s="13" t="inlineStr"/>
      <c r="N44" s="18" t="inlineStr"/>
      <c r="O44" s="13" t="inlineStr"/>
      <c r="P44" s="14" t="n">
        <v>0</v>
      </c>
      <c r="Q44" s="13" t="inlineStr"/>
      <c r="R44" s="13" t="inlineStr"/>
      <c r="S44" s="13" t="inlineStr"/>
      <c r="T44" s="13" t="inlineStr"/>
      <c r="U44" s="13" t="inlineStr"/>
      <c r="V44" s="13" t="inlineStr"/>
      <c r="W44" s="14" t="inlineStr"/>
      <c r="X44" s="13" t="inlineStr"/>
      <c r="Y44" s="13" t="inlineStr"/>
      <c r="Z44" s="13" t="inlineStr"/>
      <c r="AA44" s="13" t="inlineStr"/>
      <c r="AB44" s="13" t="inlineStr"/>
      <c r="AC44" s="14" t="inlineStr"/>
      <c r="AD44" s="13" t="inlineStr"/>
      <c r="AE44" s="14" t="n">
        <v>0</v>
      </c>
      <c r="AF44" s="13" t="inlineStr"/>
      <c r="AG44" s="13" t="inlineStr"/>
      <c r="AH44" s="13" t="inlineStr"/>
      <c r="AI44" s="13" t="inlineStr"/>
      <c r="AJ44" s="14" t="n">
        <v>0</v>
      </c>
      <c r="AK44" s="13" t="inlineStr"/>
      <c r="AL44" s="13" t="inlineStr">
        <is>
          <t>2026-08-25</t>
        </is>
      </c>
      <c r="AM44" s="14" t="n">
        <v>0</v>
      </c>
      <c r="AN44" s="13" t="inlineStr">
        <is>
          <t>não</t>
        </is>
      </c>
      <c r="AO44" s="13" t="inlineStr"/>
      <c r="AP44" s="13" t="inlineStr"/>
      <c r="AQ44" s="13" t="inlineStr">
        <is>
          <t>não</t>
        </is>
      </c>
      <c r="AR44" s="13" t="inlineStr"/>
    </row>
    <row r="45">
      <c r="A45" s="13" t="inlineStr">
        <is>
          <t>Real</t>
        </is>
      </c>
      <c r="B45" s="13" t="inlineStr">
        <is>
          <t>Novo</t>
        </is>
      </c>
      <c r="C45" s="13" t="inlineStr">
        <is>
          <t>Poliana Vieira</t>
        </is>
      </c>
      <c r="D45" s="13" t="inlineStr">
        <is>
          <t>Poliana</t>
        </is>
      </c>
      <c r="E45" s="13" t="inlineStr">
        <is>
          <t>Vieira</t>
        </is>
      </c>
      <c r="F45" s="13" t="inlineStr">
        <is>
          <t>policandelaria@gmail.com</t>
        </is>
      </c>
      <c r="G45" s="13" t="inlineStr">
        <is>
          <t>não</t>
        </is>
      </c>
      <c r="H45" s="13" t="inlineStr">
        <is>
          <t>gmail.com</t>
        </is>
      </c>
      <c r="I45" s="13" t="inlineStr">
        <is>
          <t>+5531987564823</t>
        </is>
      </c>
      <c r="J45" s="13" t="inlineStr">
        <is>
          <t>2026-08-26 13:11</t>
        </is>
      </c>
      <c r="K45" s="14" t="n">
        <v>1</v>
      </c>
      <c r="L45" s="13" t="inlineStr">
        <is>
          <t>NOT_FOUND</t>
        </is>
      </c>
      <c r="M45" s="13" t="inlineStr"/>
      <c r="N45" s="18" t="inlineStr"/>
      <c r="O45" s="13" t="inlineStr"/>
      <c r="P45" s="14" t="n">
        <v>0</v>
      </c>
      <c r="Q45" s="13" t="inlineStr"/>
      <c r="R45" s="13" t="inlineStr"/>
      <c r="S45" s="13" t="inlineStr"/>
      <c r="T45" s="13" t="inlineStr"/>
      <c r="U45" s="13" t="inlineStr"/>
      <c r="V45" s="13" t="inlineStr"/>
      <c r="W45" s="14" t="inlineStr"/>
      <c r="X45" s="13" t="inlineStr"/>
      <c r="Y45" s="13" t="inlineStr"/>
      <c r="Z45" s="13" t="inlineStr"/>
      <c r="AA45" s="13" t="inlineStr"/>
      <c r="AB45" s="13" t="inlineStr"/>
      <c r="AC45" s="14" t="inlineStr"/>
      <c r="AD45" s="13" t="inlineStr"/>
      <c r="AE45" s="14" t="n">
        <v>0</v>
      </c>
      <c r="AF45" s="13" t="inlineStr"/>
      <c r="AG45" s="13" t="inlineStr"/>
      <c r="AH45" s="13" t="inlineStr"/>
      <c r="AI45" s="13" t="inlineStr"/>
      <c r="AJ45" s="14" t="n">
        <v>0</v>
      </c>
      <c r="AK45" s="13" t="inlineStr"/>
      <c r="AL45" s="13" t="inlineStr">
        <is>
          <t>2026-08-26</t>
        </is>
      </c>
      <c r="AM45" s="14" t="n">
        <v>0</v>
      </c>
      <c r="AN45" s="13" t="inlineStr">
        <is>
          <t>não</t>
        </is>
      </c>
      <c r="AO45" s="13" t="inlineStr"/>
      <c r="AP45" s="13" t="inlineStr"/>
      <c r="AQ45" s="13" t="inlineStr">
        <is>
          <t>não</t>
        </is>
      </c>
      <c r="AR45" s="13" t="inlineStr"/>
    </row>
    <row r="46">
      <c r="A46" s="13" t="inlineStr">
        <is>
          <t>Real</t>
        </is>
      </c>
      <c r="B46" s="13" t="inlineStr">
        <is>
          <t>Novo</t>
        </is>
      </c>
      <c r="C46" s="13" t="inlineStr">
        <is>
          <t>RAFAEL MENDES</t>
        </is>
      </c>
      <c r="D46" s="13" t="inlineStr">
        <is>
          <t>RAFAEL</t>
        </is>
      </c>
      <c r="E46" s="13" t="inlineStr">
        <is>
          <t>MENDES</t>
        </is>
      </c>
      <c r="F46" s="13" t="inlineStr">
        <is>
          <t>rafael.9mendes@gmail.com</t>
        </is>
      </c>
      <c r="G46" s="13" t="inlineStr">
        <is>
          <t>não</t>
        </is>
      </c>
      <c r="H46" s="13" t="inlineStr">
        <is>
          <t>gmail.com</t>
        </is>
      </c>
      <c r="I46" s="13" t="inlineStr">
        <is>
          <t>+5521983316155</t>
        </is>
      </c>
      <c r="J46" s="13" t="inlineStr">
        <is>
          <t>2026-08-26 14:51</t>
        </is>
      </c>
      <c r="K46" s="14" t="n">
        <v>1</v>
      </c>
      <c r="L46" s="13" t="inlineStr">
        <is>
          <t>NOT_FOUND</t>
        </is>
      </c>
      <c r="M46" s="13" t="inlineStr"/>
      <c r="N46" s="18" t="inlineStr"/>
      <c r="O46" s="13" t="inlineStr"/>
      <c r="P46" s="14" t="n">
        <v>0</v>
      </c>
      <c r="Q46" s="13" t="inlineStr"/>
      <c r="R46" s="13" t="inlineStr"/>
      <c r="S46" s="13" t="inlineStr"/>
      <c r="T46" s="13" t="inlineStr"/>
      <c r="U46" s="13" t="inlineStr"/>
      <c r="V46" s="13" t="inlineStr"/>
      <c r="W46" s="14" t="inlineStr"/>
      <c r="X46" s="13" t="inlineStr"/>
      <c r="Y46" s="13" t="inlineStr"/>
      <c r="Z46" s="13" t="inlineStr"/>
      <c r="AA46" s="13" t="inlineStr"/>
      <c r="AB46" s="13" t="inlineStr"/>
      <c r="AC46" s="14" t="inlineStr"/>
      <c r="AD46" s="13" t="inlineStr"/>
      <c r="AE46" s="14" t="n">
        <v>0</v>
      </c>
      <c r="AF46" s="13" t="inlineStr"/>
      <c r="AG46" s="13" t="inlineStr"/>
      <c r="AH46" s="13" t="inlineStr"/>
      <c r="AI46" s="13" t="inlineStr"/>
      <c r="AJ46" s="14" t="n">
        <v>0</v>
      </c>
      <c r="AK46" s="13" t="inlineStr"/>
      <c r="AL46" s="13" t="inlineStr">
        <is>
          <t>2026-08-26</t>
        </is>
      </c>
      <c r="AM46" s="14" t="n">
        <v>0</v>
      </c>
      <c r="AN46" s="13" t="inlineStr">
        <is>
          <t>não</t>
        </is>
      </c>
      <c r="AO46" s="13" t="inlineStr"/>
      <c r="AP46" s="13" t="inlineStr"/>
      <c r="AQ46" s="13" t="inlineStr">
        <is>
          <t>não</t>
        </is>
      </c>
      <c r="AR46" s="13" t="inlineStr"/>
    </row>
    <row r="47">
      <c r="A47" s="13" t="inlineStr">
        <is>
          <t>Real</t>
        </is>
      </c>
      <c r="B47" s="13" t="inlineStr">
        <is>
          <t>Novo</t>
        </is>
      </c>
      <c r="C47" s="13" t="inlineStr">
        <is>
          <t>Ricardo Furtado</t>
        </is>
      </c>
      <c r="D47" s="13" t="inlineStr">
        <is>
          <t>Ricardo</t>
        </is>
      </c>
      <c r="E47" s="13" t="inlineStr">
        <is>
          <t>Furtado</t>
        </is>
      </c>
      <c r="F47" s="13" t="inlineStr">
        <is>
          <t>ricardofurtad@gmail.com</t>
        </is>
      </c>
      <c r="G47" s="13" t="inlineStr">
        <is>
          <t>não</t>
        </is>
      </c>
      <c r="H47" s="13" t="inlineStr">
        <is>
          <t>gmail.com</t>
        </is>
      </c>
      <c r="I47" s="13" t="inlineStr">
        <is>
          <t>+5544999797077</t>
        </is>
      </c>
      <c r="J47" s="13" t="inlineStr">
        <is>
          <t>2026-08-25 13:13</t>
        </is>
      </c>
      <c r="K47" s="14" t="n">
        <v>1</v>
      </c>
      <c r="L47" s="13" t="inlineStr">
        <is>
          <t>NOT_FOUND</t>
        </is>
      </c>
      <c r="M47" s="13" t="inlineStr"/>
      <c r="N47" s="18" t="inlineStr"/>
      <c r="O47" s="13" t="inlineStr"/>
      <c r="P47" s="14" t="n">
        <v>0</v>
      </c>
      <c r="Q47" s="13" t="inlineStr"/>
      <c r="R47" s="13" t="inlineStr"/>
      <c r="S47" s="13" t="inlineStr"/>
      <c r="T47" s="13" t="inlineStr"/>
      <c r="U47" s="13" t="inlineStr"/>
      <c r="V47" s="13" t="inlineStr"/>
      <c r="W47" s="14" t="inlineStr"/>
      <c r="X47" s="13" t="inlineStr"/>
      <c r="Y47" s="13" t="inlineStr"/>
      <c r="Z47" s="13" t="inlineStr"/>
      <c r="AA47" s="13" t="inlineStr"/>
      <c r="AB47" s="13" t="inlineStr"/>
      <c r="AC47" s="14" t="inlineStr"/>
      <c r="AD47" s="13" t="inlineStr"/>
      <c r="AE47" s="14" t="n">
        <v>0</v>
      </c>
      <c r="AF47" s="13" t="inlineStr"/>
      <c r="AG47" s="13" t="inlineStr"/>
      <c r="AH47" s="13" t="inlineStr"/>
      <c r="AI47" s="13" t="inlineStr"/>
      <c r="AJ47" s="14" t="n">
        <v>0</v>
      </c>
      <c r="AK47" s="13" t="inlineStr"/>
      <c r="AL47" s="13" t="inlineStr">
        <is>
          <t>2026-08-25</t>
        </is>
      </c>
      <c r="AM47" s="14" t="n">
        <v>0</v>
      </c>
      <c r="AN47" s="13" t="inlineStr">
        <is>
          <t>não</t>
        </is>
      </c>
      <c r="AO47" s="13" t="inlineStr"/>
      <c r="AP47" s="13" t="inlineStr"/>
      <c r="AQ47" s="13" t="inlineStr">
        <is>
          <t>não</t>
        </is>
      </c>
      <c r="AR47" s="13" t="inlineStr"/>
    </row>
    <row r="48">
      <c r="A48" s="13" t="inlineStr">
        <is>
          <t>Real</t>
        </is>
      </c>
      <c r="B48" s="13" t="inlineStr">
        <is>
          <t>Novo</t>
        </is>
      </c>
      <c r="C48" s="13" t="inlineStr">
        <is>
          <t>Ricardo Rosa</t>
        </is>
      </c>
      <c r="D48" s="13" t="inlineStr">
        <is>
          <t>Ricardo</t>
        </is>
      </c>
      <c r="E48" s="13" t="inlineStr">
        <is>
          <t>Rosa</t>
        </is>
      </c>
      <c r="F48" s="13" t="inlineStr">
        <is>
          <t>ricardo@devotum.com.br</t>
        </is>
      </c>
      <c r="G48" s="13" t="inlineStr">
        <is>
          <t>sim</t>
        </is>
      </c>
      <c r="H48" s="13" t="inlineStr">
        <is>
          <t>devotum.com.br</t>
        </is>
      </c>
      <c r="I48" s="13" t="inlineStr">
        <is>
          <t>+5547992602655</t>
        </is>
      </c>
      <c r="J48" s="13" t="inlineStr">
        <is>
          <t>2026-08-25 15:12</t>
        </is>
      </c>
      <c r="K48" s="14" t="n">
        <v>1</v>
      </c>
      <c r="L48" s="13" t="inlineStr">
        <is>
          <t>NOT_FOUND</t>
        </is>
      </c>
      <c r="M48" s="13" t="inlineStr"/>
      <c r="N48" s="18" t="inlineStr"/>
      <c r="O48" s="13" t="inlineStr"/>
      <c r="P48" s="14" t="n">
        <v>0</v>
      </c>
      <c r="Q48" s="13" t="inlineStr"/>
      <c r="R48" s="13" t="inlineStr"/>
      <c r="S48" s="13" t="inlineStr"/>
      <c r="T48" s="13" t="inlineStr"/>
      <c r="U48" s="13" t="inlineStr"/>
      <c r="V48" s="13" t="inlineStr"/>
      <c r="W48" s="14" t="inlineStr"/>
      <c r="X48" s="13" t="inlineStr"/>
      <c r="Y48" s="13" t="inlineStr"/>
      <c r="Z48" s="13" t="inlineStr"/>
      <c r="AA48" s="13" t="inlineStr"/>
      <c r="AB48" s="13" t="inlineStr"/>
      <c r="AC48" s="14" t="inlineStr"/>
      <c r="AD48" s="13" t="inlineStr"/>
      <c r="AE48" s="14" t="n">
        <v>0</v>
      </c>
      <c r="AF48" s="13" t="inlineStr"/>
      <c r="AG48" s="13" t="inlineStr"/>
      <c r="AH48" s="13" t="inlineStr"/>
      <c r="AI48" s="13" t="inlineStr"/>
      <c r="AJ48" s="14" t="n">
        <v>0</v>
      </c>
      <c r="AK48" s="13" t="inlineStr"/>
      <c r="AL48" s="13" t="inlineStr">
        <is>
          <t>2026-08-25</t>
        </is>
      </c>
      <c r="AM48" s="14" t="n">
        <v>0</v>
      </c>
      <c r="AN48" s="13" t="inlineStr">
        <is>
          <t>não</t>
        </is>
      </c>
      <c r="AO48" s="13" t="inlineStr"/>
      <c r="AP48" s="13" t="inlineStr"/>
      <c r="AQ48" s="13" t="inlineStr">
        <is>
          <t>não</t>
        </is>
      </c>
      <c r="AR48" s="13" t="inlineStr"/>
    </row>
    <row r="49">
      <c r="A49" s="13" t="inlineStr">
        <is>
          <t>Real</t>
        </is>
      </c>
      <c r="B49" s="13" t="inlineStr">
        <is>
          <t>Novo</t>
        </is>
      </c>
      <c r="C49" s="13" t="inlineStr">
        <is>
          <t>Saulo Florentino</t>
        </is>
      </c>
      <c r="D49" s="13" t="inlineStr">
        <is>
          <t>Saulo</t>
        </is>
      </c>
      <c r="E49" s="13" t="inlineStr">
        <is>
          <t>Florentino</t>
        </is>
      </c>
      <c r="F49" s="13" t="inlineStr">
        <is>
          <t>saulo.florentino1977@gmail.com</t>
        </is>
      </c>
      <c r="G49" s="13" t="inlineStr">
        <is>
          <t>não</t>
        </is>
      </c>
      <c r="H49" s="13" t="inlineStr">
        <is>
          <t>gmail.com</t>
        </is>
      </c>
      <c r="I49" s="13" t="inlineStr">
        <is>
          <t>+5547989004903</t>
        </is>
      </c>
      <c r="J49" s="13" t="inlineStr">
        <is>
          <t>2026-08-25 13:03</t>
        </is>
      </c>
      <c r="K49" s="14" t="n">
        <v>1</v>
      </c>
      <c r="L49" s="13" t="inlineStr">
        <is>
          <t>NOT_FOUND</t>
        </is>
      </c>
      <c r="M49" s="13" t="inlineStr"/>
      <c r="N49" s="18" t="inlineStr"/>
      <c r="O49" s="13" t="inlineStr"/>
      <c r="P49" s="14" t="n">
        <v>0</v>
      </c>
      <c r="Q49" s="13" t="inlineStr"/>
      <c r="R49" s="13" t="inlineStr"/>
      <c r="S49" s="13" t="inlineStr"/>
      <c r="T49" s="13" t="inlineStr"/>
      <c r="U49" s="13" t="inlineStr"/>
      <c r="V49" s="13" t="inlineStr"/>
      <c r="W49" s="14" t="inlineStr"/>
      <c r="X49" s="13" t="inlineStr"/>
      <c r="Y49" s="13" t="inlineStr"/>
      <c r="Z49" s="13" t="inlineStr"/>
      <c r="AA49" s="13" t="inlineStr"/>
      <c r="AB49" s="13" t="inlineStr"/>
      <c r="AC49" s="14" t="inlineStr"/>
      <c r="AD49" s="13" t="inlineStr"/>
      <c r="AE49" s="14" t="n">
        <v>0</v>
      </c>
      <c r="AF49" s="13" t="inlineStr"/>
      <c r="AG49" s="13" t="inlineStr"/>
      <c r="AH49" s="13" t="inlineStr"/>
      <c r="AI49" s="13" t="inlineStr"/>
      <c r="AJ49" s="14" t="n">
        <v>0</v>
      </c>
      <c r="AK49" s="13" t="inlineStr"/>
      <c r="AL49" s="13" t="inlineStr">
        <is>
          <t>2026-08-25</t>
        </is>
      </c>
      <c r="AM49" s="14" t="n">
        <v>0</v>
      </c>
      <c r="AN49" s="13" t="inlineStr">
        <is>
          <t>não</t>
        </is>
      </c>
      <c r="AO49" s="13" t="inlineStr"/>
      <c r="AP49" s="13" t="inlineStr"/>
      <c r="AQ49" s="13" t="inlineStr">
        <is>
          <t>não</t>
        </is>
      </c>
      <c r="AR49" s="13" t="inlineStr"/>
    </row>
    <row r="50">
      <c r="A50" s="13" t="inlineStr">
        <is>
          <t>Real</t>
        </is>
      </c>
      <c r="B50" s="13" t="inlineStr">
        <is>
          <t>Novo</t>
        </is>
      </c>
      <c r="C50" s="13" t="inlineStr">
        <is>
          <t>Victor Dias</t>
        </is>
      </c>
      <c r="D50" s="13" t="inlineStr">
        <is>
          <t>Victor</t>
        </is>
      </c>
      <c r="E50" s="13" t="inlineStr">
        <is>
          <t>Dias</t>
        </is>
      </c>
      <c r="F50" s="13" t="inlineStr">
        <is>
          <t>kettle_pessimist235@simplelogin.com</t>
        </is>
      </c>
      <c r="G50" s="13" t="inlineStr">
        <is>
          <t>sim</t>
        </is>
      </c>
      <c r="H50" s="13" t="inlineStr">
        <is>
          <t>simplelogin.com</t>
        </is>
      </c>
      <c r="I50" s="13" t="inlineStr">
        <is>
          <t>+5591935009813</t>
        </is>
      </c>
      <c r="J50" s="13" t="inlineStr">
        <is>
          <t>2026-08-26 08:13</t>
        </is>
      </c>
      <c r="K50" s="14" t="n">
        <v>1</v>
      </c>
      <c r="L50" s="13" t="inlineStr">
        <is>
          <t>NOT_FOUND</t>
        </is>
      </c>
      <c r="M50" s="13" t="inlineStr"/>
      <c r="N50" s="18" t="inlineStr"/>
      <c r="O50" s="13" t="inlineStr"/>
      <c r="P50" s="14" t="n">
        <v>0</v>
      </c>
      <c r="Q50" s="13" t="inlineStr"/>
      <c r="R50" s="13" t="inlineStr"/>
      <c r="S50" s="13" t="inlineStr"/>
      <c r="T50" s="13" t="inlineStr"/>
      <c r="U50" s="13" t="inlineStr"/>
      <c r="V50" s="13" t="inlineStr"/>
      <c r="W50" s="14" t="inlineStr"/>
      <c r="X50" s="13" t="inlineStr"/>
      <c r="Y50" s="13" t="inlineStr"/>
      <c r="Z50" s="13" t="inlineStr"/>
      <c r="AA50" s="13" t="inlineStr"/>
      <c r="AB50" s="13" t="inlineStr"/>
      <c r="AC50" s="14" t="inlineStr"/>
      <c r="AD50" s="13" t="inlineStr"/>
      <c r="AE50" s="14" t="n">
        <v>0</v>
      </c>
      <c r="AF50" s="13" t="inlineStr"/>
      <c r="AG50" s="13" t="inlineStr"/>
      <c r="AH50" s="13" t="inlineStr"/>
      <c r="AI50" s="13" t="inlineStr"/>
      <c r="AJ50" s="14" t="n">
        <v>0</v>
      </c>
      <c r="AK50" s="13" t="inlineStr"/>
      <c r="AL50" s="13" t="inlineStr">
        <is>
          <t>2026-08-26</t>
        </is>
      </c>
      <c r="AM50" s="14" t="n">
        <v>0</v>
      </c>
      <c r="AN50" s="13" t="inlineStr">
        <is>
          <t>não</t>
        </is>
      </c>
      <c r="AO50" s="13" t="inlineStr"/>
      <c r="AP50" s="13" t="inlineStr"/>
      <c r="AQ50" s="13" t="inlineStr">
        <is>
          <t>não</t>
        </is>
      </c>
      <c r="AR50" s="13" t="inlineStr"/>
    </row>
    <row r="51">
      <c r="A51" s="13" t="inlineStr">
        <is>
          <t>Real</t>
        </is>
      </c>
      <c r="B51" s="13" t="inlineStr">
        <is>
          <t>Novo</t>
        </is>
      </c>
      <c r="C51" s="13" t="inlineStr">
        <is>
          <t>Victoria Monteiro</t>
        </is>
      </c>
      <c r="D51" s="13" t="inlineStr">
        <is>
          <t>Victoria</t>
        </is>
      </c>
      <c r="E51" s="13" t="inlineStr">
        <is>
          <t>Monteiro</t>
        </is>
      </c>
      <c r="F51" s="13" t="inlineStr">
        <is>
          <t>vic.m.sampaio@gmail.com</t>
        </is>
      </c>
      <c r="G51" s="13" t="inlineStr">
        <is>
          <t>não</t>
        </is>
      </c>
      <c r="H51" s="13" t="inlineStr">
        <is>
          <t>gmail.com</t>
        </is>
      </c>
      <c r="I51" s="13" t="inlineStr">
        <is>
          <t>+5511961713307</t>
        </is>
      </c>
      <c r="J51" s="13" t="inlineStr">
        <is>
          <t>2026-08-25 13:24</t>
        </is>
      </c>
      <c r="K51" s="14" t="n">
        <v>1</v>
      </c>
      <c r="L51" s="13" t="inlineStr">
        <is>
          <t>NOT_FOUND</t>
        </is>
      </c>
      <c r="M51" s="13" t="inlineStr"/>
      <c r="N51" s="18" t="inlineStr"/>
      <c r="O51" s="13" t="inlineStr"/>
      <c r="P51" s="14" t="n">
        <v>0</v>
      </c>
      <c r="Q51" s="13" t="inlineStr"/>
      <c r="R51" s="13" t="inlineStr"/>
      <c r="S51" s="13" t="inlineStr"/>
      <c r="T51" s="13" t="inlineStr"/>
      <c r="U51" s="13" t="inlineStr"/>
      <c r="V51" s="13" t="inlineStr"/>
      <c r="W51" s="14" t="inlineStr"/>
      <c r="X51" s="13" t="inlineStr"/>
      <c r="Y51" s="13" t="inlineStr"/>
      <c r="Z51" s="13" t="inlineStr"/>
      <c r="AA51" s="13" t="inlineStr"/>
      <c r="AB51" s="13" t="inlineStr"/>
      <c r="AC51" s="14" t="inlineStr"/>
      <c r="AD51" s="13" t="inlineStr"/>
      <c r="AE51" s="14" t="n">
        <v>0</v>
      </c>
      <c r="AF51" s="13" t="inlineStr"/>
      <c r="AG51" s="13" t="inlineStr"/>
      <c r="AH51" s="13" t="inlineStr"/>
      <c r="AI51" s="13" t="inlineStr"/>
      <c r="AJ51" s="14" t="n">
        <v>0</v>
      </c>
      <c r="AK51" s="13" t="inlineStr"/>
      <c r="AL51" s="13" t="inlineStr">
        <is>
          <t>2026-08-25</t>
        </is>
      </c>
      <c r="AM51" s="14" t="n">
        <v>0</v>
      </c>
      <c r="AN51" s="13" t="inlineStr">
        <is>
          <t>não</t>
        </is>
      </c>
      <c r="AO51" s="13" t="inlineStr"/>
      <c r="AP51" s="13" t="inlineStr"/>
      <c r="AQ51" s="13" t="inlineStr">
        <is>
          <t>não</t>
        </is>
      </c>
      <c r="AR51" s="13" t="inlineStr"/>
    </row>
    <row r="52">
      <c r="A52" s="13" t="inlineStr">
        <is>
          <t>Real</t>
        </is>
      </c>
      <c r="B52" s="13" t="inlineStr">
        <is>
          <t>Novo</t>
        </is>
      </c>
      <c r="C52" s="13" t="inlineStr">
        <is>
          <t>Vinicius Assini</t>
        </is>
      </c>
      <c r="D52" s="13" t="inlineStr">
        <is>
          <t>Vinicius</t>
        </is>
      </c>
      <c r="E52" s="13" t="inlineStr">
        <is>
          <t>Assini</t>
        </is>
      </c>
      <c r="F52" s="13" t="inlineStr">
        <is>
          <t>vinicius.assini@gmail.com</t>
        </is>
      </c>
      <c r="G52" s="13" t="inlineStr">
        <is>
          <t>não</t>
        </is>
      </c>
      <c r="H52" s="13" t="inlineStr">
        <is>
          <t>gmail.com</t>
        </is>
      </c>
      <c r="I52" s="13" t="inlineStr">
        <is>
          <t>+5547999990000</t>
        </is>
      </c>
      <c r="J52" s="13" t="inlineStr">
        <is>
          <t>2026-08-25 13:47</t>
        </is>
      </c>
      <c r="K52" s="14" t="n">
        <v>1</v>
      </c>
      <c r="L52" s="13" t="inlineStr">
        <is>
          <t>NOT_FOUND</t>
        </is>
      </c>
      <c r="M52" s="13" t="inlineStr"/>
      <c r="N52" s="18" t="inlineStr"/>
      <c r="O52" s="13" t="inlineStr"/>
      <c r="P52" s="14" t="n">
        <v>0</v>
      </c>
      <c r="Q52" s="13" t="inlineStr"/>
      <c r="R52" s="13" t="inlineStr"/>
      <c r="S52" s="13" t="inlineStr"/>
      <c r="T52" s="13" t="inlineStr"/>
      <c r="U52" s="13" t="inlineStr"/>
      <c r="V52" s="13" t="inlineStr"/>
      <c r="W52" s="14" t="inlineStr"/>
      <c r="X52" s="13" t="inlineStr"/>
      <c r="Y52" s="13" t="inlineStr"/>
      <c r="Z52" s="13" t="inlineStr"/>
      <c r="AA52" s="13" t="inlineStr"/>
      <c r="AB52" s="13" t="inlineStr"/>
      <c r="AC52" s="14" t="inlineStr"/>
      <c r="AD52" s="13" t="inlineStr"/>
      <c r="AE52" s="14" t="n">
        <v>0</v>
      </c>
      <c r="AF52" s="13" t="inlineStr"/>
      <c r="AG52" s="13" t="inlineStr"/>
      <c r="AH52" s="13" t="inlineStr"/>
      <c r="AI52" s="13" t="inlineStr"/>
      <c r="AJ52" s="14" t="n">
        <v>0</v>
      </c>
      <c r="AK52" s="13" t="inlineStr"/>
      <c r="AL52" s="13" t="inlineStr">
        <is>
          <t>2026-08-25</t>
        </is>
      </c>
      <c r="AM52" s="14" t="n">
        <v>0</v>
      </c>
      <c r="AN52" s="13" t="inlineStr">
        <is>
          <t>não</t>
        </is>
      </c>
      <c r="AO52" s="13" t="inlineStr"/>
      <c r="AP52" s="13" t="inlineStr"/>
      <c r="AQ52" s="13" t="inlineStr">
        <is>
          <t>não</t>
        </is>
      </c>
      <c r="AR52" s="13" t="inlineStr"/>
    </row>
    <row r="53">
      <c r="A53" s="19" t="inlineStr">
        <is>
          <t>Teste interno</t>
        </is>
      </c>
      <c r="B53" s="19" t="inlineStr">
        <is>
          <t>Baixou outro lead magnet</t>
        </is>
      </c>
      <c r="C53" s="13" t="inlineStr">
        <is>
          <t>FELIPE NUNES</t>
        </is>
      </c>
      <c r="D53" s="13" t="inlineStr">
        <is>
          <t>FELIPE</t>
        </is>
      </c>
      <c r="E53" s="13" t="inlineStr">
        <is>
          <t>NUNES</t>
        </is>
      </c>
      <c r="F53" s="13" t="inlineStr">
        <is>
          <t>fereservas@gmail.com</t>
        </is>
      </c>
      <c r="G53" s="13" t="inlineStr">
        <is>
          <t>não</t>
        </is>
      </c>
      <c r="H53" s="13" t="inlineStr">
        <is>
          <t>gmail.com</t>
        </is>
      </c>
      <c r="I53" s="13" t="inlineStr">
        <is>
          <t>+551952960701</t>
        </is>
      </c>
      <c r="J53" s="13" t="inlineStr">
        <is>
          <t>2026-08-17 20:38</t>
        </is>
      </c>
      <c r="K53" s="14" t="n">
        <v>1</v>
      </c>
      <c r="L53" s="19" t="inlineStr">
        <is>
          <t>NOT_FOUND</t>
        </is>
      </c>
      <c r="M53" s="19" t="inlineStr"/>
      <c r="N53" s="20" t="inlineStr"/>
      <c r="O53" s="13" t="inlineStr"/>
      <c r="P53" s="14" t="n">
        <v>0</v>
      </c>
      <c r="Q53" s="13" t="inlineStr"/>
      <c r="R53" s="13" t="inlineStr"/>
      <c r="S53" s="13" t="inlineStr"/>
      <c r="T53" s="13" t="inlineStr"/>
      <c r="U53" s="13" t="inlineStr"/>
      <c r="V53" s="13" t="inlineStr"/>
      <c r="W53" s="14" t="inlineStr"/>
      <c r="X53" s="13" t="inlineStr"/>
      <c r="Y53" s="13" t="inlineStr"/>
      <c r="Z53" s="13" t="inlineStr"/>
      <c r="AA53" s="13" t="inlineStr"/>
      <c r="AB53" s="13" t="inlineStr"/>
      <c r="AC53" s="14" t="inlineStr"/>
      <c r="AD53" s="13" t="inlineStr"/>
      <c r="AE53" s="14" t="n">
        <v>0</v>
      </c>
      <c r="AF53" s="13" t="inlineStr"/>
      <c r="AG53" s="13" t="inlineStr"/>
      <c r="AH53" s="13" t="inlineStr"/>
      <c r="AI53" s="13" t="inlineStr"/>
      <c r="AJ53" s="14" t="n">
        <v>10</v>
      </c>
      <c r="AK53" s="13" t="inlineStr">
        <is>
          <t>Claude Flabe 5 | KipFlow - API brasileira boa de verdade | O Setup inicial do OS da sua empresa | 36 Skills de SDR para Claude</t>
        </is>
      </c>
      <c r="AL53" s="13" t="inlineStr">
        <is>
          <t>2026-07-03</t>
        </is>
      </c>
      <c r="AM53" s="14" t="n">
        <v>45</v>
      </c>
      <c r="AN53" s="13" t="inlineStr">
        <is>
          <t>não</t>
        </is>
      </c>
      <c r="AO53" s="13" t="inlineStr"/>
      <c r="AP53" s="13" t="inlineStr"/>
      <c r="AQ53" s="13" t="inlineStr">
        <is>
          <t>não</t>
        </is>
      </c>
      <c r="AR53" s="13" t="inlineStr"/>
    </row>
    <row r="54">
      <c r="A54" s="19" t="inlineStr">
        <is>
          <t>Teste interno</t>
        </is>
      </c>
      <c r="B54" s="19" t="inlineStr">
        <is>
          <t>Baixou outro lead magnet</t>
        </is>
      </c>
      <c r="C54" s="13" t="inlineStr">
        <is>
          <t>FELIPE NUNES</t>
        </is>
      </c>
      <c r="D54" s="13" t="inlineStr">
        <is>
          <t>FELIPE</t>
        </is>
      </c>
      <c r="E54" s="13" t="inlineStr">
        <is>
          <t>NUNES</t>
        </is>
      </c>
      <c r="F54" s="13" t="inlineStr">
        <is>
          <t>felipearian10197@gmail.com</t>
        </is>
      </c>
      <c r="G54" s="13" t="inlineStr">
        <is>
          <t>não</t>
        </is>
      </c>
      <c r="H54" s="13" t="inlineStr">
        <is>
          <t>gmail.com</t>
        </is>
      </c>
      <c r="I54" s="13" t="inlineStr">
        <is>
          <t>+5511952960701</t>
        </is>
      </c>
      <c r="J54" s="13" t="inlineStr">
        <is>
          <t>2026-08-25 12:04</t>
        </is>
      </c>
      <c r="K54" s="14" t="n">
        <v>1</v>
      </c>
      <c r="L54" s="19" t="inlineStr">
        <is>
          <t>NOT_FOUND</t>
        </is>
      </c>
      <c r="M54" s="19" t="inlineStr"/>
      <c r="N54" s="20" t="inlineStr"/>
      <c r="O54" s="13" t="inlineStr"/>
      <c r="P54" s="14" t="n">
        <v>0</v>
      </c>
      <c r="Q54" s="13" t="inlineStr"/>
      <c r="R54" s="13" t="inlineStr"/>
      <c r="S54" s="13" t="inlineStr"/>
      <c r="T54" s="13" t="inlineStr"/>
      <c r="U54" s="13" t="inlineStr"/>
      <c r="V54" s="13" t="inlineStr"/>
      <c r="W54" s="14" t="inlineStr"/>
      <c r="X54" s="13" t="inlineStr"/>
      <c r="Y54" s="13" t="inlineStr"/>
      <c r="Z54" s="13" t="inlineStr"/>
      <c r="AA54" s="13" t="inlineStr"/>
      <c r="AB54" s="13" t="inlineStr"/>
      <c r="AC54" s="14" t="inlineStr"/>
      <c r="AD54" s="13" t="inlineStr"/>
      <c r="AE54" s="14" t="n">
        <v>0</v>
      </c>
      <c r="AF54" s="13" t="inlineStr"/>
      <c r="AG54" s="13" t="inlineStr"/>
      <c r="AH54" s="13" t="inlineStr"/>
      <c r="AI54" s="13" t="inlineStr"/>
      <c r="AJ54" s="14" t="n">
        <v>3</v>
      </c>
      <c r="AK54" s="13" t="inlineStr">
        <is>
          <t>Claude Flabe 5 | KipFlow - API brasileira boa de verdade | 36 Skills de SDR para Claude</t>
        </is>
      </c>
      <c r="AL54" s="13" t="inlineStr">
        <is>
          <t>2026-07-03</t>
        </is>
      </c>
      <c r="AM54" s="14" t="n">
        <v>53</v>
      </c>
      <c r="AN54" s="13" t="inlineStr">
        <is>
          <t>não</t>
        </is>
      </c>
      <c r="AO54" s="13" t="inlineStr"/>
      <c r="AP54" s="13" t="inlineStr"/>
      <c r="AQ54" s="13" t="inlineStr">
        <is>
          <t>não</t>
        </is>
      </c>
      <c r="AR54" s="13" t="inlineStr"/>
    </row>
    <row r="55">
      <c r="A55" s="19" t="inlineStr">
        <is>
          <t>Lixo</t>
        </is>
      </c>
      <c r="B55" s="19" t="inlineStr">
        <is>
          <t>Baixou outro lead magnet</t>
        </is>
      </c>
      <c r="C55" s="13" t="inlineStr">
        <is>
          <t>Teste Teste</t>
        </is>
      </c>
      <c r="D55" s="13" t="inlineStr">
        <is>
          <t>Teste</t>
        </is>
      </c>
      <c r="E55" s="13" t="inlineStr">
        <is>
          <t>Teste</t>
        </is>
      </c>
      <c r="F55" s="13" t="inlineStr">
        <is>
          <t>teste@teste.com.br</t>
        </is>
      </c>
      <c r="G55" s="13" t="inlineStr">
        <is>
          <t>sim</t>
        </is>
      </c>
      <c r="H55" s="13" t="inlineStr">
        <is>
          <t>teste.com.br</t>
        </is>
      </c>
      <c r="I55" s="13" t="inlineStr">
        <is>
          <t>+5531999999999</t>
        </is>
      </c>
      <c r="J55" s="13" t="inlineStr">
        <is>
          <t>2026-08-25 13:25</t>
        </is>
      </c>
      <c r="K55" s="14" t="n">
        <v>1</v>
      </c>
      <c r="L55" s="19" t="inlineStr">
        <is>
          <t>NOT_FOUND</t>
        </is>
      </c>
      <c r="M55" s="19" t="inlineStr"/>
      <c r="N55" s="20" t="inlineStr"/>
      <c r="O55" s="13" t="inlineStr"/>
      <c r="P55" s="14" t="n">
        <v>0</v>
      </c>
      <c r="Q55" s="13" t="inlineStr"/>
      <c r="R55" s="13" t="inlineStr"/>
      <c r="S55" s="13" t="inlineStr"/>
      <c r="T55" s="13" t="inlineStr"/>
      <c r="U55" s="13" t="inlineStr"/>
      <c r="V55" s="13" t="inlineStr"/>
      <c r="W55" s="14" t="inlineStr"/>
      <c r="X55" s="13" t="inlineStr"/>
      <c r="Y55" s="13" t="inlineStr"/>
      <c r="Z55" s="13" t="inlineStr"/>
      <c r="AA55" s="13" t="inlineStr"/>
      <c r="AB55" s="13" t="inlineStr"/>
      <c r="AC55" s="14" t="inlineStr"/>
      <c r="AD55" s="13" t="inlineStr"/>
      <c r="AE55" s="14" t="n">
        <v>0</v>
      </c>
      <c r="AF55" s="13" t="inlineStr"/>
      <c r="AG55" s="13" t="inlineStr"/>
      <c r="AH55" s="13" t="inlineStr"/>
      <c r="AI55" s="13" t="inlineStr"/>
      <c r="AJ55" s="14" t="n">
        <v>3</v>
      </c>
      <c r="AK55" s="13" t="inlineStr">
        <is>
          <t>KipFlow - API brasileira boa de verdade | 18 MCPs + o guia de instalação completo | 36 Skills de SDR para Claude</t>
        </is>
      </c>
      <c r="AL55" s="13" t="inlineStr">
        <is>
          <t>2026-07-14</t>
        </is>
      </c>
      <c r="AM55" s="14" t="n">
        <v>42</v>
      </c>
      <c r="AN55" s="13" t="inlineStr">
        <is>
          <t>não</t>
        </is>
      </c>
      <c r="AO55" s="13" t="inlineStr"/>
      <c r="AP55" s="13" t="inlineStr"/>
      <c r="AQ55" s="13" t="inlineStr">
        <is>
          <t>não</t>
        </is>
      </c>
      <c r="AR55" s="13" t="inlineStr"/>
    </row>
    <row r="56">
      <c r="A56" s="19" t="inlineStr">
        <is>
          <t>Lixo</t>
        </is>
      </c>
      <c r="B56" s="19" t="inlineStr">
        <is>
          <t>Novo</t>
        </is>
      </c>
      <c r="C56" s="13" t="inlineStr">
        <is>
          <t>ASDF ASDF</t>
        </is>
      </c>
      <c r="D56" s="13" t="inlineStr">
        <is>
          <t>ASDF</t>
        </is>
      </c>
      <c r="E56" s="13" t="inlineStr">
        <is>
          <t>ASDF</t>
        </is>
      </c>
      <c r="F56" s="13" t="inlineStr">
        <is>
          <t>asdf@sdsa.com</t>
        </is>
      </c>
      <c r="G56" s="13" t="inlineStr">
        <is>
          <t>sim</t>
        </is>
      </c>
      <c r="H56" s="13" t="inlineStr">
        <is>
          <t>sdsa.com</t>
        </is>
      </c>
      <c r="I56" s="13" t="inlineStr">
        <is>
          <t>+5541999999999</t>
        </is>
      </c>
      <c r="J56" s="13" t="inlineStr">
        <is>
          <t>2026-08-25 12:59</t>
        </is>
      </c>
      <c r="K56" s="14" t="n">
        <v>1</v>
      </c>
      <c r="L56" s="19" t="inlineStr">
        <is>
          <t>NOT_FOUND</t>
        </is>
      </c>
      <c r="M56" s="19" t="inlineStr"/>
      <c r="N56" s="20" t="inlineStr"/>
      <c r="O56" s="13" t="inlineStr"/>
      <c r="P56" s="14" t="n">
        <v>0</v>
      </c>
      <c r="Q56" s="13" t="inlineStr"/>
      <c r="R56" s="13" t="inlineStr"/>
      <c r="S56" s="13" t="inlineStr"/>
      <c r="T56" s="13" t="inlineStr"/>
      <c r="U56" s="13" t="inlineStr"/>
      <c r="V56" s="13" t="inlineStr"/>
      <c r="W56" s="14" t="inlineStr"/>
      <c r="X56" s="13" t="inlineStr"/>
      <c r="Y56" s="13" t="inlineStr"/>
      <c r="Z56" s="13" t="inlineStr"/>
      <c r="AA56" s="13" t="inlineStr"/>
      <c r="AB56" s="13" t="inlineStr"/>
      <c r="AC56" s="14" t="inlineStr"/>
      <c r="AD56" s="13" t="inlineStr"/>
      <c r="AE56" s="14" t="n">
        <v>0</v>
      </c>
      <c r="AF56" s="13" t="inlineStr"/>
      <c r="AG56" s="13" t="inlineStr"/>
      <c r="AH56" s="13" t="inlineStr"/>
      <c r="AI56" s="13" t="inlineStr"/>
      <c r="AJ56" s="14" t="n">
        <v>0</v>
      </c>
      <c r="AK56" s="13" t="inlineStr"/>
      <c r="AL56" s="13" t="inlineStr">
        <is>
          <t>2026-08-25</t>
        </is>
      </c>
      <c r="AM56" s="14" t="n">
        <v>0</v>
      </c>
      <c r="AN56" s="13" t="inlineStr">
        <is>
          <t>não</t>
        </is>
      </c>
      <c r="AO56" s="13" t="inlineStr"/>
      <c r="AP56" s="13" t="inlineStr"/>
      <c r="AQ56" s="13" t="inlineStr">
        <is>
          <t>não</t>
        </is>
      </c>
      <c r="AR56" s="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26" customWidth="1" min="4" max="4"/>
    <col width="10" customWidth="1" min="5" max="5"/>
    <col width="5" customWidth="1" min="6" max="6"/>
    <col width="16" customWidth="1" min="7" max="7"/>
    <col width="24" customWidth="1" min="8" max="8"/>
    <col width="32" customWidth="1" min="9" max="9"/>
    <col width="16" customWidth="1" min="10" max="10"/>
    <col width="17" customWidth="1" min="11" max="11"/>
    <col width="26" customWidth="1" min="12" max="12"/>
    <col width="46" customWidth="1" min="13" max="13"/>
    <col width="40" customWidth="1" min="14" max="14"/>
    <col width="26" customWidth="1" min="15" max="15"/>
    <col width="12" customWidth="1" min="16" max="16"/>
    <col width="13" customWidth="1" min="17" max="17"/>
    <col width="8" customWidth="1" min="18" max="18"/>
    <col width="12" customWidth="1" min="19" max="19"/>
    <col width="34" customWidth="1" min="20" max="20"/>
  </cols>
  <sheetData>
    <row r="1" ht="30" customHeight="1">
      <c r="A1" s="11" t="inlineStr">
        <is>
          <t>Status</t>
        </is>
      </c>
      <c r="B1" s="11" t="inlineStr">
        <is>
          <t>Metodo</t>
        </is>
      </c>
      <c r="C1" s="11" t="inlineStr">
        <is>
          <t>Confianca</t>
        </is>
      </c>
      <c r="D1" s="11" t="inlineStr">
        <is>
          <t>Evidencia</t>
        </is>
      </c>
      <c r="E1" s="11" t="inlineStr">
        <is>
          <t>Candidato</t>
        </is>
      </c>
      <c r="F1" s="11" t="inlineStr">
        <is>
          <t>de</t>
        </is>
      </c>
      <c r="G1" s="11" t="inlineStr">
        <is>
          <t>Tipo de nome</t>
        </is>
      </c>
      <c r="H1" s="11" t="inlineStr">
        <is>
          <t>Nome (Tally)</t>
        </is>
      </c>
      <c r="I1" s="11" t="inlineStr">
        <is>
          <t>E-mail</t>
        </is>
      </c>
      <c r="J1" s="11" t="inlineStr">
        <is>
          <t>Telefone</t>
        </is>
      </c>
      <c r="K1" s="11" t="inlineStr">
        <is>
          <t>Inscrito em</t>
        </is>
      </c>
      <c r="L1" s="11" t="inlineStr">
        <is>
          <t>Nome no LinkedIn</t>
        </is>
      </c>
      <c r="M1" s="11" t="inlineStr">
        <is>
          <t>LinkedIn</t>
        </is>
      </c>
      <c r="N1" s="11" t="inlineStr">
        <is>
          <t>Cargo</t>
        </is>
      </c>
      <c r="O1" s="11" t="inlineStr">
        <is>
          <t>Empresa</t>
        </is>
      </c>
      <c r="P1" s="11" t="inlineStr">
        <is>
          <t>Funcionarios</t>
        </is>
      </c>
      <c r="Q1" s="11" t="inlineStr">
        <is>
          <t>ICP</t>
        </is>
      </c>
      <c r="R1" s="11" t="inlineStr">
        <is>
          <t>Score</t>
        </is>
      </c>
      <c r="S1" s="11" t="inlineStr">
        <is>
          <t>Comentarios</t>
        </is>
      </c>
      <c r="T1" s="11" t="inlineStr">
        <is>
          <t>Posts comentados</t>
        </is>
      </c>
    </row>
    <row r="2">
      <c r="A2" s="12" t="inlineStr">
        <is>
          <t>MATCHED</t>
        </is>
      </c>
      <c r="B2" s="12" t="inlineStr">
        <is>
          <t>nome_exato+dominio_empresa</t>
        </is>
      </c>
      <c r="C2" s="15" t="n">
        <v>0.9399999999999999</v>
      </c>
      <c r="D2" s="13" t="inlineStr">
        <is>
          <t>dominio_empresa + apos_comentario</t>
        </is>
      </c>
      <c r="E2" s="13" t="n">
        <v>1</v>
      </c>
      <c r="F2" s="13" t="n">
        <v>1</v>
      </c>
      <c r="G2" s="13" t="inlineStr">
        <is>
          <t>exato</t>
        </is>
      </c>
      <c r="H2" s="13" t="inlineStr">
        <is>
          <t>André Soczek</t>
        </is>
      </c>
      <c r="I2" s="13" t="inlineStr">
        <is>
          <t>andre@apartamentoscuritiba.com.br</t>
        </is>
      </c>
      <c r="J2" s="13" t="inlineStr">
        <is>
          <t>+5541995281092</t>
        </is>
      </c>
      <c r="K2" s="13" t="inlineStr">
        <is>
          <t>2026-08-25 12:52</t>
        </is>
      </c>
      <c r="L2" s="13" t="inlineStr">
        <is>
          <t>André Soczek</t>
        </is>
      </c>
      <c r="M2" s="13" t="inlineStr">
        <is>
          <t>https://www.linkedin.com/in/andre-soczek</t>
        </is>
      </c>
      <c r="N2" s="13" t="inlineStr">
        <is>
          <t>Fundador</t>
        </is>
      </c>
      <c r="O2" s="13" t="inlineStr">
        <is>
          <t>Apartamentos Curitiba</t>
        </is>
      </c>
      <c r="P2" s="13" t="n">
        <v>8</v>
      </c>
      <c r="Q2" s="13" t="inlineStr">
        <is>
          <t>disqualified</t>
        </is>
      </c>
      <c r="R2" s="13" t="n">
        <v>30</v>
      </c>
      <c r="S2" s="13" t="n">
        <v>1</v>
      </c>
      <c r="T2" s="13" t="inlineStr">
        <is>
          <t>2026-08-11 s/CTA</t>
        </is>
      </c>
    </row>
    <row r="3">
      <c r="A3" s="12" t="inlineStr">
        <is>
          <t>MATCHED</t>
        </is>
      </c>
      <c r="B3" s="12" t="inlineStr">
        <is>
          <t>nome_exato_especifico</t>
        </is>
      </c>
      <c r="C3" s="15" t="n">
        <v>0.85</v>
      </c>
      <c r="D3" s="13" t="inlineStr">
        <is>
          <t>apos_comentario</t>
        </is>
      </c>
      <c r="E3" s="13" t="n">
        <v>1</v>
      </c>
      <c r="F3" s="13" t="n">
        <v>1</v>
      </c>
      <c r="G3" s="13" t="inlineStr">
        <is>
          <t>exato</t>
        </is>
      </c>
      <c r="H3" s="13" t="inlineStr">
        <is>
          <t>João Pedro Maya</t>
        </is>
      </c>
      <c r="I3" s="13" t="inlineStr">
        <is>
          <t>joao.pedro.maya@gmail.com</t>
        </is>
      </c>
      <c r="J3" s="13" t="inlineStr">
        <is>
          <t>+5521998522611</t>
        </is>
      </c>
      <c r="K3" s="13" t="inlineStr">
        <is>
          <t>2026-08-25 17:55</t>
        </is>
      </c>
      <c r="L3" s="13" t="inlineStr">
        <is>
          <t>João Pedro Maya</t>
        </is>
      </c>
      <c r="M3" s="13" t="inlineStr">
        <is>
          <t>https://www.linkedin.com/in/joao-pedro-maya</t>
        </is>
      </c>
      <c r="N3" s="13" t="inlineStr">
        <is>
          <t>Projetos | Reestruturação de processos | Operações | Trilingue</t>
        </is>
      </c>
      <c r="O3" s="13" t="inlineStr"/>
      <c r="P3" s="13" t="inlineStr"/>
      <c r="Q3" s="13" t="inlineStr">
        <is>
          <t>disqualified</t>
        </is>
      </c>
      <c r="R3" s="13" t="n">
        <v>0</v>
      </c>
      <c r="S3" s="13" t="n">
        <v>1</v>
      </c>
      <c r="T3" s="13" t="inlineStr">
        <is>
          <t>2026-08-11 s/CTA</t>
        </is>
      </c>
    </row>
    <row r="4">
      <c r="A4" s="12" t="inlineStr">
        <is>
          <t>MATCHED</t>
        </is>
      </c>
      <c r="B4" s="12" t="inlineStr">
        <is>
          <t>nome_exato_especifico</t>
        </is>
      </c>
      <c r="C4" s="15" t="n">
        <v>0.85</v>
      </c>
      <c r="D4" s="13" t="inlineStr">
        <is>
          <t>apos_comentario</t>
        </is>
      </c>
      <c r="E4" s="13" t="n">
        <v>1</v>
      </c>
      <c r="F4" s="13" t="n">
        <v>1</v>
      </c>
      <c r="G4" s="13" t="inlineStr">
        <is>
          <t>exato</t>
        </is>
      </c>
      <c r="H4" s="13" t="inlineStr">
        <is>
          <t>Luan Garcia Hinkel</t>
        </is>
      </c>
      <c r="I4" s="13" t="inlineStr">
        <is>
          <t>luan.hinkel@newfold.com</t>
        </is>
      </c>
      <c r="J4" s="13" t="inlineStr">
        <is>
          <t>+5548991996450</t>
        </is>
      </c>
      <c r="K4" s="13" t="inlineStr">
        <is>
          <t>2026-08-25 13:03</t>
        </is>
      </c>
      <c r="L4" s="13" t="inlineStr">
        <is>
          <t>Luan Garcia Hinkel</t>
        </is>
      </c>
      <c r="M4" s="13" t="inlineStr">
        <is>
          <t>https://www.linkedin.com/in/luanhinkel</t>
        </is>
      </c>
      <c r="N4" s="13" t="inlineStr">
        <is>
          <t>Sales Operations Junior</t>
        </is>
      </c>
      <c r="O4" s="13" t="inlineStr">
        <is>
          <t>HostGator América Latina</t>
        </is>
      </c>
      <c r="P4" s="13" t="n">
        <v>316</v>
      </c>
      <c r="Q4" s="13" t="inlineStr">
        <is>
          <t>disqualified</t>
        </is>
      </c>
      <c r="R4" s="13" t="n">
        <v>30</v>
      </c>
      <c r="S4" s="13" t="n">
        <v>2</v>
      </c>
      <c r="T4" s="13" t="inlineStr">
        <is>
          <t>2026-07-29 OS | 2026-08-11 s/CTA</t>
        </is>
      </c>
    </row>
    <row r="5">
      <c r="A5" s="16" t="inlineStr">
        <is>
          <t>REVIEW</t>
        </is>
      </c>
      <c r="B5" s="16" t="inlineStr">
        <is>
          <t>nome_exato_generico</t>
        </is>
      </c>
      <c r="C5" s="17" t="n">
        <v>0.6</v>
      </c>
      <c r="D5" s="13" t="inlineStr">
        <is>
          <t>apos_comentario</t>
        </is>
      </c>
      <c r="E5" s="13" t="n">
        <v>1</v>
      </c>
      <c r="F5" s="13" t="n">
        <v>1</v>
      </c>
      <c r="G5" s="13" t="inlineStr">
        <is>
          <t>exato</t>
        </is>
      </c>
      <c r="H5" s="13" t="inlineStr">
        <is>
          <t>Cíntia Fonseca</t>
        </is>
      </c>
      <c r="I5" s="13" t="inlineStr">
        <is>
          <t>cintiafonseeca@gmail.com</t>
        </is>
      </c>
      <c r="J5" s="13" t="inlineStr">
        <is>
          <t>+5513996215600</t>
        </is>
      </c>
      <c r="K5" s="13" t="inlineStr">
        <is>
          <t>2026-08-25 12:52</t>
        </is>
      </c>
      <c r="L5" s="13" t="inlineStr">
        <is>
          <t>Cíntia Fonseca</t>
        </is>
      </c>
      <c r="M5" s="13" t="inlineStr">
        <is>
          <t>https://www.linkedin.com/in/c%C3%ADntia-fonseca-638a251aa</t>
        </is>
      </c>
      <c r="N5" s="13" t="inlineStr">
        <is>
          <t>SDR / BDR</t>
        </is>
      </c>
      <c r="O5" s="13" t="inlineStr">
        <is>
          <t>Vkron Agência de Marketing Digital</t>
        </is>
      </c>
      <c r="P5" s="13" t="n">
        <v>27</v>
      </c>
      <c r="Q5" s="13" t="inlineStr">
        <is>
          <t>disqualified</t>
        </is>
      </c>
      <c r="R5" s="13" t="n">
        <v>30</v>
      </c>
      <c r="S5" s="13" t="n">
        <v>1</v>
      </c>
      <c r="T5" s="13" t="inlineStr">
        <is>
          <t>2026-08-11 s/CTA</t>
        </is>
      </c>
    </row>
    <row r="6">
      <c r="A6" s="16" t="inlineStr">
        <is>
          <t>REVIEW</t>
        </is>
      </c>
      <c r="B6" s="16" t="inlineStr">
        <is>
          <t>nome_exato_generico</t>
        </is>
      </c>
      <c r="C6" s="17" t="n">
        <v>0.6</v>
      </c>
      <c r="D6" s="13" t="inlineStr">
        <is>
          <t>apos_comentario</t>
        </is>
      </c>
      <c r="E6" s="13" t="n">
        <v>1</v>
      </c>
      <c r="F6" s="13" t="n">
        <v>1</v>
      </c>
      <c r="G6" s="13" t="inlineStr">
        <is>
          <t>exato</t>
        </is>
      </c>
      <c r="H6" s="13" t="inlineStr">
        <is>
          <t>Eduardo Abreu</t>
        </is>
      </c>
      <c r="I6" s="13" t="inlineStr">
        <is>
          <t>eduardo.abreu02@gmail.com</t>
        </is>
      </c>
      <c r="J6" s="13" t="inlineStr">
        <is>
          <t>+5511939402808</t>
        </is>
      </c>
      <c r="K6" s="13" t="inlineStr">
        <is>
          <t>2026-08-25 13:38</t>
        </is>
      </c>
      <c r="L6" s="13" t="inlineStr">
        <is>
          <t>Eduardo Abreu</t>
        </is>
      </c>
      <c r="M6" s="13" t="inlineStr">
        <is>
          <t>https://www.linkedin.com/in/eduardo-abreu-comercial</t>
        </is>
      </c>
      <c r="N6" s="13" t="inlineStr">
        <is>
          <t>Executivo de contas</t>
        </is>
      </c>
      <c r="O6" s="13" t="inlineStr">
        <is>
          <t>Business Innovation Ltda</t>
        </is>
      </c>
      <c r="P6" s="13" t="inlineStr"/>
      <c r="Q6" s="13" t="inlineStr">
        <is>
          <t>disqualified</t>
        </is>
      </c>
      <c r="R6" s="13" t="n">
        <v>40</v>
      </c>
      <c r="S6" s="13" t="n">
        <v>1</v>
      </c>
      <c r="T6" s="13" t="inlineStr">
        <is>
          <t>2026-08-11 s/CTA</t>
        </is>
      </c>
    </row>
    <row r="7">
      <c r="A7" s="16" t="inlineStr">
        <is>
          <t>REVIEW</t>
        </is>
      </c>
      <c r="B7" s="16" t="inlineStr">
        <is>
          <t>nome_exato_generico</t>
        </is>
      </c>
      <c r="C7" s="17" t="n">
        <v>0.6</v>
      </c>
      <c r="D7" s="13" t="inlineStr">
        <is>
          <t>apos_comentario</t>
        </is>
      </c>
      <c r="E7" s="13" t="n">
        <v>1</v>
      </c>
      <c r="F7" s="13" t="n">
        <v>1</v>
      </c>
      <c r="G7" s="13" t="inlineStr">
        <is>
          <t>exato</t>
        </is>
      </c>
      <c r="H7" s="13" t="inlineStr">
        <is>
          <t>Gabriel Lima</t>
        </is>
      </c>
      <c r="I7" s="13" t="inlineStr">
        <is>
          <t>ga.lima@reply.com</t>
        </is>
      </c>
      <c r="J7" s="13" t="inlineStr">
        <is>
          <t>+5511970452004</t>
        </is>
      </c>
      <c r="K7" s="13" t="inlineStr">
        <is>
          <t>2026-08-25 12:50</t>
        </is>
      </c>
      <c r="L7" s="13" t="inlineStr">
        <is>
          <t>Gabriel de Lima P.</t>
        </is>
      </c>
      <c r="M7" s="13" t="inlineStr">
        <is>
          <t>https://www.linkedin.com/in/gabriel-de-lima-p</t>
        </is>
      </c>
      <c r="N7" s="13" t="inlineStr">
        <is>
          <t>Executivo de Vendas | Inside Sales | SDR | BDR | Hunter | B2B | Outbound | Analista TI | Analista de Suporte | Cloud | Projetos Infraestrutura | ADS | Programador | Tecnologia | SQL</t>
        </is>
      </c>
      <c r="O7" s="13" t="inlineStr">
        <is>
          <t>Senior Mega SPO</t>
        </is>
      </c>
      <c r="P7" s="13" t="n">
        <v>11</v>
      </c>
      <c r="Q7" s="13" t="inlineStr">
        <is>
          <t>disqualified</t>
        </is>
      </c>
      <c r="R7" s="13" t="n">
        <v>30</v>
      </c>
      <c r="S7" s="13" t="n">
        <v>1</v>
      </c>
      <c r="T7" s="13" t="inlineStr">
        <is>
          <t>2026-08-11 s/CTA</t>
        </is>
      </c>
    </row>
    <row r="8">
      <c r="A8" s="16" t="inlineStr">
        <is>
          <t>REVIEW</t>
        </is>
      </c>
      <c r="B8" s="16" t="inlineStr">
        <is>
          <t>nome_exato_generico</t>
        </is>
      </c>
      <c r="C8" s="17" t="n">
        <v>0.6</v>
      </c>
      <c r="D8" s="13" t="inlineStr">
        <is>
          <t>apos_comentario</t>
        </is>
      </c>
      <c r="E8" s="13" t="n">
        <v>1</v>
      </c>
      <c r="F8" s="13" t="n">
        <v>1</v>
      </c>
      <c r="G8" s="13" t="inlineStr">
        <is>
          <t>exato</t>
        </is>
      </c>
      <c r="H8" s="13" t="inlineStr">
        <is>
          <t>Rodrigo Nascimento</t>
        </is>
      </c>
      <c r="I8" s="13" t="inlineStr">
        <is>
          <t>rodrigo.nsc@gmail.com</t>
        </is>
      </c>
      <c r="J8" s="13" t="inlineStr">
        <is>
          <t>+5548988250523</t>
        </is>
      </c>
      <c r="K8" s="13" t="inlineStr">
        <is>
          <t>2026-08-25 12:49</t>
        </is>
      </c>
      <c r="L8" s="13" t="inlineStr">
        <is>
          <t>Rodrigo Nascimento</t>
        </is>
      </c>
      <c r="M8" s="13" t="inlineStr">
        <is>
          <t>https://www.linkedin.com/in/rodrigonsc</t>
        </is>
      </c>
      <c r="N8" s="13" t="inlineStr">
        <is>
          <t>Head Comercial | Head de Produto · SaaS · RevOps · Go-to-Market · Pré-vendas · IA aplicada a Vendas</t>
        </is>
      </c>
      <c r="O8" s="13" t="inlineStr">
        <is>
          <t>Keeta</t>
        </is>
      </c>
      <c r="P8" s="13" t="n">
        <v>6638</v>
      </c>
      <c r="Q8" s="13" t="inlineStr">
        <is>
          <t>qualified</t>
        </is>
      </c>
      <c r="R8" s="13" t="n">
        <v>55</v>
      </c>
      <c r="S8" s="13" t="n">
        <v>2</v>
      </c>
      <c r="T8" s="13" t="inlineStr">
        <is>
          <t>2026-07-29 OS | 2026-08-11 s/CTA</t>
        </is>
      </c>
    </row>
    <row r="9">
      <c r="A9" s="16" t="inlineStr">
        <is>
          <t>REVIEW</t>
        </is>
      </c>
      <c r="B9" s="16" t="inlineStr">
        <is>
          <t>nome_exato_generico</t>
        </is>
      </c>
      <c r="C9" s="17" t="n">
        <v>0.6</v>
      </c>
      <c r="D9" s="13" t="inlineStr">
        <is>
          <t>apos_comentario</t>
        </is>
      </c>
      <c r="E9" s="13" t="n">
        <v>1</v>
      </c>
      <c r="F9" s="13" t="n">
        <v>1</v>
      </c>
      <c r="G9" s="13" t="inlineStr">
        <is>
          <t>exato</t>
        </is>
      </c>
      <c r="H9" s="13" t="inlineStr">
        <is>
          <t>Sidnei Brianti</t>
        </is>
      </c>
      <c r="I9" s="13" t="inlineStr">
        <is>
          <t>scbrianti2022@gmail.com</t>
        </is>
      </c>
      <c r="J9" s="13" t="inlineStr">
        <is>
          <t>+5519982450707</t>
        </is>
      </c>
      <c r="K9" s="13" t="inlineStr">
        <is>
          <t>2026-08-25 14:27</t>
        </is>
      </c>
      <c r="L9" s="13" t="inlineStr">
        <is>
          <t>Sidnei Brianti</t>
        </is>
      </c>
      <c r="M9" s="13" t="inlineStr">
        <is>
          <t>https://www.linkedin.com/in/sidnei-brianti</t>
        </is>
      </c>
      <c r="N9" s="13" t="inlineStr">
        <is>
          <t>Fundador</t>
        </is>
      </c>
      <c r="O9" s="13" t="inlineStr">
        <is>
          <t>LinkaTudo</t>
        </is>
      </c>
      <c r="P9" s="13" t="n">
        <v>2</v>
      </c>
      <c r="Q9" s="13" t="inlineStr">
        <is>
          <t>disqualified</t>
        </is>
      </c>
      <c r="R9" s="13" t="n">
        <v>30</v>
      </c>
      <c r="S9" s="13" t="n">
        <v>1</v>
      </c>
      <c r="T9" s="13" t="inlineStr">
        <is>
          <t>2026-08-11 s/CTA</t>
        </is>
      </c>
    </row>
    <row r="10">
      <c r="A10" s="16" t="inlineStr">
        <is>
          <t>REVIEW</t>
        </is>
      </c>
      <c r="B10" s="16" t="inlineStr">
        <is>
          <t>nome_exato_generico</t>
        </is>
      </c>
      <c r="C10" s="17" t="n">
        <v>0.6</v>
      </c>
      <c r="D10" s="13" t="inlineStr">
        <is>
          <t>apos_comentario</t>
        </is>
      </c>
      <c r="E10" s="13" t="n">
        <v>1</v>
      </c>
      <c r="F10" s="13" t="n">
        <v>1</v>
      </c>
      <c r="G10" s="13" t="inlineStr">
        <is>
          <t>exato</t>
        </is>
      </c>
      <c r="H10" s="13" t="inlineStr">
        <is>
          <t>Vinícius Silva</t>
        </is>
      </c>
      <c r="I10" s="13" t="inlineStr">
        <is>
          <t>viniciuscmx01@gmail.com</t>
        </is>
      </c>
      <c r="J10" s="13" t="inlineStr">
        <is>
          <t>+5521998939333</t>
        </is>
      </c>
      <c r="K10" s="13" t="inlineStr">
        <is>
          <t>2026-08-25 17:24</t>
        </is>
      </c>
      <c r="L10" s="13" t="inlineStr">
        <is>
          <t>Vinícius Silva</t>
        </is>
      </c>
      <c r="M10" s="13" t="inlineStr">
        <is>
          <t>https://www.linkedin.com/in/theviniciusssilva</t>
        </is>
      </c>
      <c r="N10" s="13" t="inlineStr">
        <is>
          <t>Consultor &amp; Estrategista Digital</t>
        </is>
      </c>
      <c r="O10" s="13" t="inlineStr">
        <is>
          <t>Aigle Aeternus Hub</t>
        </is>
      </c>
      <c r="P10" s="13" t="inlineStr"/>
      <c r="Q10" s="13" t="inlineStr">
        <is>
          <t>disqualified</t>
        </is>
      </c>
      <c r="R10" s="13" t="n">
        <v>45</v>
      </c>
      <c r="S10" s="13" t="n">
        <v>4</v>
      </c>
      <c r="T10" s="13" t="inlineStr">
        <is>
          <t>2026-07-03 FABLE | 2026-07-14 FLOW | 2026-07-29 OS | 2026-08-11 s/CTA</t>
        </is>
      </c>
    </row>
    <row r="11">
      <c r="A11" s="16" t="inlineStr">
        <is>
          <t>REVIEW</t>
        </is>
      </c>
      <c r="B11" s="16" t="inlineStr">
        <is>
          <t>nome_exato_generico</t>
        </is>
      </c>
      <c r="C11" s="17" t="n">
        <v>0.6</v>
      </c>
      <c r="D11" s="13" t="inlineStr">
        <is>
          <t>apos_comentario</t>
        </is>
      </c>
      <c r="E11" s="13" t="n">
        <v>1</v>
      </c>
      <c r="F11" s="13" t="n">
        <v>1</v>
      </c>
      <c r="G11" s="13" t="inlineStr">
        <is>
          <t>exato</t>
        </is>
      </c>
      <c r="H11" s="13" t="inlineStr">
        <is>
          <t>patricia zaniratto</t>
        </is>
      </c>
      <c r="I11" s="13" t="inlineStr">
        <is>
          <t>zanirattocomercial@gmail.com</t>
        </is>
      </c>
      <c r="J11" s="13" t="inlineStr">
        <is>
          <t>+5511991625614</t>
        </is>
      </c>
      <c r="K11" s="13" t="inlineStr">
        <is>
          <t>2026-08-25 13:06</t>
        </is>
      </c>
      <c r="L11" s="13" t="inlineStr">
        <is>
          <t>Patricia Zaniratto</t>
        </is>
      </c>
      <c r="M11" s="13" t="inlineStr">
        <is>
          <t>https://www.linkedin.com/in/patricia-zaniratto-a4438948</t>
        </is>
      </c>
      <c r="N11" s="13" t="inlineStr">
        <is>
          <t>Especialista em Prospecção B2B</t>
        </is>
      </c>
      <c r="O11" s="13" t="inlineStr">
        <is>
          <t>Zaniratto Comercial</t>
        </is>
      </c>
      <c r="P11" s="13" t="inlineStr"/>
      <c r="Q11" s="13" t="inlineStr">
        <is>
          <t>disqualified</t>
        </is>
      </c>
      <c r="R11" s="13" t="n">
        <v>30</v>
      </c>
      <c r="S11" s="13" t="n">
        <v>1</v>
      </c>
      <c r="T11" s="13" t="inlineStr">
        <is>
          <t>2026-08-11 s/CTA</t>
        </is>
      </c>
    </row>
    <row r="12">
      <c r="A12" s="16" t="inlineStr">
        <is>
          <t>REVIEW</t>
        </is>
      </c>
      <c r="B12" s="16" t="inlineStr">
        <is>
          <t>nome_parcial</t>
        </is>
      </c>
      <c r="C12" s="17" t="n">
        <v>0.45</v>
      </c>
      <c r="D12" s="13" t="inlineStr">
        <is>
          <t>apos_comentario</t>
        </is>
      </c>
      <c r="E12" s="13" t="n">
        <v>1</v>
      </c>
      <c r="F12" s="13" t="n">
        <v>1</v>
      </c>
      <c r="G12" s="13" t="inlineStr">
        <is>
          <t>primeiro_ultimo</t>
        </is>
      </c>
      <c r="H12" s="13" t="inlineStr">
        <is>
          <t>Celio Andrade</t>
        </is>
      </c>
      <c r="I12" s="13" t="inlineStr">
        <is>
          <t>cmilodeandrade@gmail.com</t>
        </is>
      </c>
      <c r="J12" s="13" t="inlineStr">
        <is>
          <t>+5547996342583</t>
        </is>
      </c>
      <c r="K12" s="13" t="inlineStr">
        <is>
          <t>2026-08-25 12:57</t>
        </is>
      </c>
      <c r="L12" s="13" t="inlineStr">
        <is>
          <t>Celio Milo de Andrade</t>
        </is>
      </c>
      <c r="M12" s="13" t="inlineStr">
        <is>
          <t>https://www.linkedin.com/in/celio-milo-de-andrade-96644973</t>
        </is>
      </c>
      <c r="N12" s="13" t="inlineStr">
        <is>
          <t>Coordenador de licitações</t>
        </is>
      </c>
      <c r="O12" s="13" t="inlineStr">
        <is>
          <t>Cantu Inc</t>
        </is>
      </c>
      <c r="P12" s="13" t="n">
        <v>1658</v>
      </c>
      <c r="Q12" s="13" t="inlineStr">
        <is>
          <t>disqualified</t>
        </is>
      </c>
      <c r="R12" s="13" t="n">
        <v>45</v>
      </c>
      <c r="S12" s="13" t="n">
        <v>1</v>
      </c>
      <c r="T12" s="13" t="inlineStr">
        <is>
          <t>2026-07-29 OS</t>
        </is>
      </c>
    </row>
    <row r="13">
      <c r="A13" s="16" t="inlineStr">
        <is>
          <t>REVIEW</t>
        </is>
      </c>
      <c r="B13" s="16" t="inlineStr">
        <is>
          <t>nome_parcial</t>
        </is>
      </c>
      <c r="C13" s="17" t="n">
        <v>0.45</v>
      </c>
      <c r="D13" s="13" t="inlineStr">
        <is>
          <t>apos_comentario</t>
        </is>
      </c>
      <c r="E13" s="13" t="n">
        <v>1</v>
      </c>
      <c r="F13" s="13" t="n">
        <v>1</v>
      </c>
      <c r="G13" s="13" t="inlineStr">
        <is>
          <t>primeiro_ultimo</t>
        </is>
      </c>
      <c r="H13" s="13" t="inlineStr">
        <is>
          <t>Hudson Oliveira</t>
        </is>
      </c>
      <c r="I13" s="13" t="inlineStr">
        <is>
          <t>hudson.dias91@gmail.com</t>
        </is>
      </c>
      <c r="J13" s="13" t="inlineStr">
        <is>
          <t>+5519991508069</t>
        </is>
      </c>
      <c r="K13" s="13" t="inlineStr">
        <is>
          <t>2026-08-26 11:36</t>
        </is>
      </c>
      <c r="L13" s="13" t="inlineStr">
        <is>
          <t>Hudson Leonardo Oliveira</t>
        </is>
      </c>
      <c r="M13" s="13" t="inlineStr">
        <is>
          <t>https://www.linkedin.com/in/hudson-leonardo-oliveira-718a4944</t>
        </is>
      </c>
      <c r="N13" s="13" t="inlineStr">
        <is>
          <t>Sócio e Consultor de Negócios</t>
        </is>
      </c>
      <c r="O13" s="13" t="inlineStr">
        <is>
          <t>Consultólogo</t>
        </is>
      </c>
      <c r="P13" s="13" t="n">
        <v>2</v>
      </c>
      <c r="Q13" s="13" t="inlineStr">
        <is>
          <t>disqualified</t>
        </is>
      </c>
      <c r="R13" s="13" t="n">
        <v>30</v>
      </c>
      <c r="S13" s="13" t="n">
        <v>2</v>
      </c>
      <c r="T13" s="13" t="inlineStr">
        <is>
          <t>2026-07-29 OS | 2026-08-11 s/CTA</t>
        </is>
      </c>
    </row>
    <row r="14">
      <c r="A14" s="16" t="inlineStr">
        <is>
          <t>REVIEW</t>
        </is>
      </c>
      <c r="B14" s="16" t="inlineStr">
        <is>
          <t>nome_parcial</t>
        </is>
      </c>
      <c r="C14" s="17" t="n">
        <v>0.45</v>
      </c>
      <c r="D14" s="13" t="inlineStr">
        <is>
          <t>apos_comentario</t>
        </is>
      </c>
      <c r="E14" s="13" t="n">
        <v>1</v>
      </c>
      <c r="F14" s="13" t="n">
        <v>1</v>
      </c>
      <c r="G14" s="13" t="inlineStr">
        <is>
          <t>primeiro_ultimo</t>
        </is>
      </c>
      <c r="H14" s="13" t="inlineStr">
        <is>
          <t>marina lemos</t>
        </is>
      </c>
      <c r="I14" s="13" t="inlineStr">
        <is>
          <t>marinarlemos08@gmail.com</t>
        </is>
      </c>
      <c r="J14" s="13" t="inlineStr">
        <is>
          <t>+5548988191425</t>
        </is>
      </c>
      <c r="K14" s="13" t="inlineStr">
        <is>
          <t>2026-08-25 18:32</t>
        </is>
      </c>
      <c r="L14" s="13" t="inlineStr">
        <is>
          <t>Marina Rachewsky Lemos</t>
        </is>
      </c>
      <c r="M14" s="13" t="inlineStr">
        <is>
          <t>https://www.linkedin.com/in/marinarlemos</t>
        </is>
      </c>
      <c r="N14" s="13" t="inlineStr">
        <is>
          <t>Embaixadora | Influenciadora</t>
        </is>
      </c>
      <c r="O14" s="13" t="inlineStr">
        <is>
          <t>HubSpot</t>
        </is>
      </c>
      <c r="P14" s="13" t="n">
        <v>12235</v>
      </c>
      <c r="Q14" s="13" t="inlineStr">
        <is>
          <t>qualified</t>
        </is>
      </c>
      <c r="R14" s="13" t="n">
        <v>95</v>
      </c>
      <c r="S14" s="13" t="n">
        <v>2</v>
      </c>
      <c r="T14" s="13" t="inlineStr">
        <is>
          <t>2026-05-27 Sem CTA | 2026-07-29 OS</t>
        </is>
      </c>
    </row>
    <row r="15">
      <c r="A15" s="16" t="inlineStr">
        <is>
          <t>REVIEW</t>
        </is>
      </c>
      <c r="B15" s="16" t="inlineStr">
        <is>
          <t>nome_parcial</t>
        </is>
      </c>
      <c r="C15" s="17" t="n">
        <v>0.45</v>
      </c>
      <c r="D15" s="13" t="inlineStr">
        <is>
          <t>apos_comentario</t>
        </is>
      </c>
      <c r="E15" s="13" t="n">
        <v>1</v>
      </c>
      <c r="F15" s="13" t="n">
        <v>1</v>
      </c>
      <c r="G15" s="13" t="inlineStr">
        <is>
          <t>primeiro_ultimo</t>
        </is>
      </c>
      <c r="H15" s="13" t="inlineStr">
        <is>
          <t>Nicolò de Marle</t>
        </is>
      </c>
      <c r="I15" s="13" t="inlineStr">
        <is>
          <t>nicodemarle@gmail.com</t>
        </is>
      </c>
      <c r="J15" s="13" t="inlineStr">
        <is>
          <t>+5541991090330</t>
        </is>
      </c>
      <c r="K15" s="13" t="inlineStr">
        <is>
          <t>2026-08-25 13:13</t>
        </is>
      </c>
      <c r="L15" s="13" t="inlineStr">
        <is>
          <t>Nicolò Giusti de Marle</t>
        </is>
      </c>
      <c r="M15" s="13" t="inlineStr">
        <is>
          <t>https://www.linkedin.com/in/nicogiustidemarle</t>
        </is>
      </c>
      <c r="N15" s="13" t="inlineStr">
        <is>
          <t>Co-Founder</t>
        </is>
      </c>
      <c r="O15" s="13" t="inlineStr">
        <is>
          <t>LUXIA</t>
        </is>
      </c>
      <c r="P15" s="13" t="n">
        <v>3</v>
      </c>
      <c r="Q15" s="13" t="inlineStr">
        <is>
          <t>disqualified</t>
        </is>
      </c>
      <c r="R15" s="13" t="n">
        <v>0</v>
      </c>
      <c r="S15" s="13" t="n">
        <v>1</v>
      </c>
      <c r="T15" s="13" t="inlineStr">
        <is>
          <t>2026-08-11 s/CTA</t>
        </is>
      </c>
    </row>
    <row r="16">
      <c r="A16" s="16" t="inlineStr">
        <is>
          <t>REVIEW</t>
        </is>
      </c>
      <c r="B16" s="16" t="inlineStr">
        <is>
          <t>nome_parcial</t>
        </is>
      </c>
      <c r="C16" s="17" t="n">
        <v>0.45</v>
      </c>
      <c r="D16" s="13" t="inlineStr">
        <is>
          <t>apos_comentario</t>
        </is>
      </c>
      <c r="E16" s="13" t="n">
        <v>1</v>
      </c>
      <c r="F16" s="13" t="n">
        <v>1</v>
      </c>
      <c r="G16" s="13" t="inlineStr">
        <is>
          <t>primeiro_ultimo</t>
        </is>
      </c>
      <c r="H16" s="13" t="inlineStr">
        <is>
          <t>Rafael Silva</t>
        </is>
      </c>
      <c r="I16" s="13" t="inlineStr">
        <is>
          <t>orafaelnsilva@gmail.com</t>
        </is>
      </c>
      <c r="J16" s="13" t="inlineStr">
        <is>
          <t>+5511972233392</t>
        </is>
      </c>
      <c r="K16" s="13" t="inlineStr">
        <is>
          <t>2026-08-25 14:04</t>
        </is>
      </c>
      <c r="L16" s="13" t="inlineStr">
        <is>
          <t>Rafael Nunes da Silva</t>
        </is>
      </c>
      <c r="M16" s="13" t="inlineStr">
        <is>
          <t>https://www.linkedin.com/in/orafaelnunes</t>
        </is>
      </c>
      <c r="N16" s="13" t="inlineStr">
        <is>
          <t>Estratégia Digital, Inovação e Produtos SaaS | Foco em Crescimento, Dados e Experiência do Usuário</t>
        </is>
      </c>
      <c r="O16" s="13" t="inlineStr"/>
      <c r="P16" s="13" t="inlineStr"/>
      <c r="Q16" s="13" t="inlineStr">
        <is>
          <t>disqualified</t>
        </is>
      </c>
      <c r="R16" s="13" t="n">
        <v>30</v>
      </c>
      <c r="S16" s="13" t="n">
        <v>2</v>
      </c>
      <c r="T16" s="13" t="inlineStr">
        <is>
          <t>2026-07-14 FLOW | 2026-08-11 s/CTA</t>
        </is>
      </c>
    </row>
    <row r="17">
      <c r="A17" s="16" t="inlineStr">
        <is>
          <t>REVIEW</t>
        </is>
      </c>
      <c r="B17" s="16" t="inlineStr">
        <is>
          <t>nome_parcial</t>
        </is>
      </c>
      <c r="C17" s="17" t="n">
        <v>0.45</v>
      </c>
      <c r="D17" s="13" t="inlineStr">
        <is>
          <t>apos_comentario</t>
        </is>
      </c>
      <c r="E17" s="13" t="n">
        <v>1</v>
      </c>
      <c r="F17" s="13" t="n">
        <v>1</v>
      </c>
      <c r="G17" s="13" t="inlineStr">
        <is>
          <t>primeiro_ultimo</t>
        </is>
      </c>
      <c r="H17" s="13" t="inlineStr">
        <is>
          <t>Rafael Silva</t>
        </is>
      </c>
      <c r="I17" s="13" t="inlineStr">
        <is>
          <t>orafaelnsilva@gmail.com</t>
        </is>
      </c>
      <c r="J17" s="13" t="inlineStr">
        <is>
          <t>+5511972233392</t>
        </is>
      </c>
      <c r="K17" s="13" t="inlineStr">
        <is>
          <t>2026-08-25 14:04</t>
        </is>
      </c>
      <c r="L17" s="13" t="inlineStr">
        <is>
          <t>Rafael Oliveira Silva</t>
        </is>
      </c>
      <c r="M17" s="13" t="inlineStr">
        <is>
          <t>https://www.linkedin.com/in/rafael-oliveira-silva-a7233b1a5</t>
        </is>
      </c>
      <c r="N17" s="13" t="inlineStr">
        <is>
          <t>Supervisor de Inside Sales</t>
        </is>
      </c>
      <c r="O17" s="13" t="inlineStr">
        <is>
          <t>Sua LUZ</t>
        </is>
      </c>
      <c r="P17" s="13" t="inlineStr"/>
      <c r="Q17" s="13" t="inlineStr">
        <is>
          <t>disqualified</t>
        </is>
      </c>
      <c r="R17" s="13" t="n">
        <v>30</v>
      </c>
      <c r="S17" s="13" t="n">
        <v>1</v>
      </c>
      <c r="T17" s="13" t="inlineStr">
        <is>
          <t>2026-08-11 s/CTA</t>
        </is>
      </c>
    </row>
    <row r="18">
      <c r="A18" s="16" t="inlineStr">
        <is>
          <t>REVIEW</t>
        </is>
      </c>
      <c r="B18" s="16" t="inlineStr">
        <is>
          <t>nome_parcial</t>
        </is>
      </c>
      <c r="C18" s="17" t="n">
        <v>0.45</v>
      </c>
      <c r="D18" s="13" t="inlineStr">
        <is>
          <t>apos_comentario</t>
        </is>
      </c>
      <c r="E18" s="13" t="n">
        <v>1</v>
      </c>
      <c r="F18" s="13" t="n">
        <v>1</v>
      </c>
      <c r="G18" s="13" t="inlineStr">
        <is>
          <t>primeiro_ultimo</t>
        </is>
      </c>
      <c r="H18" s="13" t="inlineStr">
        <is>
          <t>Rafael Silva</t>
        </is>
      </c>
      <c r="I18" s="13" t="inlineStr">
        <is>
          <t>orafaelnsilva@gmail.com</t>
        </is>
      </c>
      <c r="J18" s="13" t="inlineStr">
        <is>
          <t>+5511972233392</t>
        </is>
      </c>
      <c r="K18" s="13" t="inlineStr">
        <is>
          <t>2026-08-25 14:04</t>
        </is>
      </c>
      <c r="L18" s="13" t="inlineStr">
        <is>
          <t>Rafael Gutierrez da Silva</t>
        </is>
      </c>
      <c r="M18" s="13" t="inlineStr">
        <is>
          <t>https://www.linkedin.com/in/rafael-gutierrez-da-silva-668a7279</t>
        </is>
      </c>
      <c r="N18" s="13" t="inlineStr">
        <is>
          <t>Partner Manager</t>
        </is>
      </c>
      <c r="O18" s="13" t="inlineStr">
        <is>
          <t>Faiston</t>
        </is>
      </c>
      <c r="P18" s="13" t="n">
        <v>201</v>
      </c>
      <c r="Q18" s="13" t="inlineStr">
        <is>
          <t>qualified</t>
        </is>
      </c>
      <c r="R18" s="13" t="n">
        <v>70</v>
      </c>
      <c r="S18" s="13" t="n">
        <v>1</v>
      </c>
      <c r="T18" s="13" t="inlineStr">
        <is>
          <t>2026-08-11 s/CTA</t>
        </is>
      </c>
    </row>
    <row r="20" ht="60" customHeight="1">
      <c r="A20" s="21" t="inlineStr">
        <is>
          <t>Uma linha por par inscricao x lead candidato. Quando 'de' e maior que 1, a mesma inscricao do Tally casa com mais de um lead - e o caso do "Rafael Silva", com tres pessoas reais disputando a mesma inscricao. Regra do matcher: nome sozinho so decide com 3+ tokens e candidato unico; abaixo disso exige e-mail corporativo batendo com a empresa ou inscricao no formulario do post comentado.</t>
        </is>
      </c>
    </row>
  </sheetData>
  <mergeCells count="1">
    <mergeCell ref="A20:H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24" customWidth="1" min="4" max="4"/>
    <col width="13" customWidth="1" min="5" max="5"/>
    <col width="12" customWidth="1" min="6" max="6"/>
    <col width="16" customWidth="1" min="7" max="7"/>
    <col width="12" customWidth="1" min="8" max="8"/>
    <col width="52" customWidth="1" min="9" max="9"/>
    <col width="80" customWidth="1" min="10" max="10"/>
  </cols>
  <sheetData>
    <row r="1" ht="30" customHeight="1">
      <c r="A1" s="11" t="inlineStr">
        <is>
          <t>Nome no LinkedIn</t>
        </is>
      </c>
      <c r="B1" s="11" t="inlineStr">
        <is>
          <t>Match</t>
        </is>
      </c>
      <c r="C1" s="11" t="inlineStr">
        <is>
          <t>Cargo</t>
        </is>
      </c>
      <c r="D1" s="11" t="inlineStr">
        <is>
          <t>Empresa</t>
        </is>
      </c>
      <c r="E1" s="11" t="inlineStr">
        <is>
          <t>Comentou em</t>
        </is>
      </c>
      <c r="F1" s="11" t="inlineStr">
        <is>
          <t>Post de</t>
        </is>
      </c>
      <c r="G1" s="11" t="inlineStr">
        <is>
          <t>Autor do post</t>
        </is>
      </c>
      <c r="H1" s="11" t="inlineStr">
        <is>
          <t>CTA do post</t>
        </is>
      </c>
      <c r="I1" s="11" t="inlineStr">
        <is>
          <t>Gancho do post</t>
        </is>
      </c>
      <c r="J1" s="11" t="inlineStr">
        <is>
          <t>O que comentou</t>
        </is>
      </c>
    </row>
    <row r="2">
      <c r="A2" s="13" t="inlineStr">
        <is>
          <t>André Soczek</t>
        </is>
      </c>
      <c r="B2" s="13" t="inlineStr">
        <is>
          <t>MATCHED</t>
        </is>
      </c>
      <c r="C2" s="13" t="inlineStr">
        <is>
          <t>Fundador</t>
        </is>
      </c>
      <c r="D2" s="13" t="inlineStr">
        <is>
          <t>Apartamentos Curitiba</t>
        </is>
      </c>
      <c r="E2" s="13" t="inlineStr">
        <is>
          <t>2026-08-13</t>
        </is>
      </c>
      <c r="F2" s="13" t="inlineStr">
        <is>
          <t>2026-08-11</t>
        </is>
      </c>
      <c r="G2" s="13" t="inlineStr">
        <is>
          <t>Victor Baggio</t>
        </is>
      </c>
      <c r="H2" s="13" t="inlineStr"/>
      <c r="I2" s="13" t="inlineStr">
        <is>
          <t>Transformei a rotina de um SDR em 36 Skills para usar no Claude.</t>
        </is>
      </c>
      <c r="J2" s="22" t="inlineStr">
        <is>
          <t>SDR</t>
        </is>
      </c>
    </row>
    <row r="3">
      <c r="A3" s="13" t="inlineStr">
        <is>
          <t>Celio Milo de Andrade</t>
        </is>
      </c>
      <c r="B3" s="13" t="inlineStr">
        <is>
          <t>REVIEW</t>
        </is>
      </c>
      <c r="C3" s="13" t="inlineStr">
        <is>
          <t>Coordenador de licitações</t>
        </is>
      </c>
      <c r="D3" s="13" t="inlineStr">
        <is>
          <t>Cantu Inc</t>
        </is>
      </c>
      <c r="E3" s="13" t="inlineStr">
        <is>
          <t>2026-07-30</t>
        </is>
      </c>
      <c r="F3" s="13" t="inlineStr">
        <is>
          <t>2026-07-29</t>
        </is>
      </c>
      <c r="G3" s="13" t="inlineStr">
        <is>
          <t>Victor Baggio</t>
        </is>
      </c>
      <c r="H3" s="13" t="inlineStr">
        <is>
          <t>OS</t>
        </is>
      </c>
      <c r="I3" s="13" t="inlineStr">
        <is>
          <t>Criei um "Segundo Cérebro" pra minha empresa com o Claude. Nunca fui tão produtivo na minha vida!</t>
        </is>
      </c>
      <c r="J3" s="22" t="inlineStr">
        <is>
          <t>OS</t>
        </is>
      </c>
    </row>
    <row r="4">
      <c r="A4" s="13" t="inlineStr">
        <is>
          <t>Cíntia Fonseca</t>
        </is>
      </c>
      <c r="B4" s="13" t="inlineStr">
        <is>
          <t>REVIEW</t>
        </is>
      </c>
      <c r="C4" s="13" t="inlineStr">
        <is>
          <t>SDR / BDR</t>
        </is>
      </c>
      <c r="D4" s="13" t="inlineStr">
        <is>
          <t>Vkron Agência de Marketing Digital</t>
        </is>
      </c>
      <c r="E4" s="13" t="inlineStr">
        <is>
          <t>2026-08-12</t>
        </is>
      </c>
      <c r="F4" s="13" t="inlineStr">
        <is>
          <t>2026-08-11</t>
        </is>
      </c>
      <c r="G4" s="13" t="inlineStr">
        <is>
          <t>Victor Baggio</t>
        </is>
      </c>
      <c r="H4" s="13" t="inlineStr"/>
      <c r="I4" s="13" t="inlineStr">
        <is>
          <t>Transformei a rotina de um SDR em 36 Skills para usar no Claude.</t>
        </is>
      </c>
      <c r="J4" s="22" t="inlineStr">
        <is>
          <t>sdr</t>
        </is>
      </c>
    </row>
    <row r="5">
      <c r="A5" s="13" t="inlineStr">
        <is>
          <t>Eduardo Abreu</t>
        </is>
      </c>
      <c r="B5" s="13" t="inlineStr">
        <is>
          <t>REVIEW</t>
        </is>
      </c>
      <c r="C5" s="13" t="inlineStr">
        <is>
          <t>Executivo de contas</t>
        </is>
      </c>
      <c r="D5" s="13" t="inlineStr">
        <is>
          <t>Business Innovation Ltda</t>
        </is>
      </c>
      <c r="E5" s="13" t="inlineStr">
        <is>
          <t>2026-08-12</t>
        </is>
      </c>
      <c r="F5" s="13" t="inlineStr">
        <is>
          <t>2026-08-11</t>
        </is>
      </c>
      <c r="G5" s="13" t="inlineStr">
        <is>
          <t>Victor Baggio</t>
        </is>
      </c>
      <c r="H5" s="13" t="inlineStr"/>
      <c r="I5" s="13" t="inlineStr">
        <is>
          <t>Transformei a rotina de um SDR em 36 Skills para usar no Claude.</t>
        </is>
      </c>
      <c r="J5" s="22" t="inlineStr">
        <is>
          <t>SDR</t>
        </is>
      </c>
    </row>
    <row r="6">
      <c r="A6" s="13" t="inlineStr">
        <is>
          <t>Gabriel de Lima P.</t>
        </is>
      </c>
      <c r="B6" s="13" t="inlineStr">
        <is>
          <t>REVIEW</t>
        </is>
      </c>
      <c r="C6" s="13" t="inlineStr">
        <is>
          <t>Executivo de Vendas | Inside Sales | SDR | BDR | Hunter | B2B | Outbound | Analista TI | Analista de Suporte | Cloud | Projetos Infraestrutura | ADS | Programador | Tecnologia | SQL</t>
        </is>
      </c>
      <c r="D6" s="13" t="inlineStr">
        <is>
          <t>Senior Mega SPO</t>
        </is>
      </c>
      <c r="E6" s="13" t="inlineStr">
        <is>
          <t>2026-08-11</t>
        </is>
      </c>
      <c r="F6" s="13" t="inlineStr">
        <is>
          <t>2026-08-11</t>
        </is>
      </c>
      <c r="G6" s="13" t="inlineStr">
        <is>
          <t>Victor Baggio</t>
        </is>
      </c>
      <c r="H6" s="13" t="inlineStr"/>
      <c r="I6" s="13" t="inlineStr">
        <is>
          <t>Transformei a rotina de um SDR em 36 Skills para usar no Claude.</t>
        </is>
      </c>
      <c r="J6" s="22" t="inlineStr">
        <is>
          <t>sdr</t>
        </is>
      </c>
    </row>
    <row r="7">
      <c r="A7" s="13" t="inlineStr">
        <is>
          <t>Hudson Leonardo Oliveira</t>
        </is>
      </c>
      <c r="B7" s="13" t="inlineStr">
        <is>
          <t>REVIEW</t>
        </is>
      </c>
      <c r="C7" s="13" t="inlineStr">
        <is>
          <t>Sócio e Consultor de Negócios</t>
        </is>
      </c>
      <c r="D7" s="13" t="inlineStr">
        <is>
          <t>Consultólogo</t>
        </is>
      </c>
      <c r="E7" s="13" t="inlineStr">
        <is>
          <t>2026-07-30</t>
        </is>
      </c>
      <c r="F7" s="13" t="inlineStr">
        <is>
          <t>2026-07-29</t>
        </is>
      </c>
      <c r="G7" s="13" t="inlineStr">
        <is>
          <t>Victor Baggio</t>
        </is>
      </c>
      <c r="H7" s="13" t="inlineStr">
        <is>
          <t>OS</t>
        </is>
      </c>
      <c r="I7" s="13" t="inlineStr">
        <is>
          <t>Criei um "Segundo Cérebro" pra minha empresa com o Claude. Nunca fui tão produtivo na minha vida!</t>
        </is>
      </c>
      <c r="J7" s="22" t="inlineStr">
        <is>
          <t>OS</t>
        </is>
      </c>
    </row>
    <row r="8">
      <c r="A8" s="13" t="inlineStr">
        <is>
          <t>Hudson Leonardo Oliveira</t>
        </is>
      </c>
      <c r="B8" s="13" t="inlineStr">
        <is>
          <t>REVIEW</t>
        </is>
      </c>
      <c r="C8" s="13" t="inlineStr">
        <is>
          <t>Sócio e Consultor de Negócios</t>
        </is>
      </c>
      <c r="D8" s="13" t="inlineStr">
        <is>
          <t>Consultólogo</t>
        </is>
      </c>
      <c r="E8" s="13" t="inlineStr">
        <is>
          <t>2026-08-11</t>
        </is>
      </c>
      <c r="F8" s="13" t="inlineStr">
        <is>
          <t>2026-08-11</t>
        </is>
      </c>
      <c r="G8" s="13" t="inlineStr">
        <is>
          <t>Victor Baggio</t>
        </is>
      </c>
      <c r="H8" s="13" t="inlineStr"/>
      <c r="I8" s="13" t="inlineStr">
        <is>
          <t>Transformei a rotina de um SDR em 36 Skills para usar no Claude.</t>
        </is>
      </c>
      <c r="J8" s="22" t="inlineStr">
        <is>
          <t>SDR</t>
        </is>
      </c>
    </row>
    <row r="9">
      <c r="A9" s="13" t="inlineStr">
        <is>
          <t>João Pedro Maya</t>
        </is>
      </c>
      <c r="B9" s="13" t="inlineStr">
        <is>
          <t>MATCHED</t>
        </is>
      </c>
      <c r="C9" s="13" t="inlineStr">
        <is>
          <t>Projetos | Reestruturação de processos | Operações | Trilingue</t>
        </is>
      </c>
      <c r="D9" s="13" t="inlineStr"/>
      <c r="E9" s="13" t="inlineStr">
        <is>
          <t>2026-08-12</t>
        </is>
      </c>
      <c r="F9" s="13" t="inlineStr">
        <is>
          <t>2026-08-11</t>
        </is>
      </c>
      <c r="G9" s="13" t="inlineStr">
        <is>
          <t>Victor Baggio</t>
        </is>
      </c>
      <c r="H9" s="13" t="inlineStr"/>
      <c r="I9" s="13" t="inlineStr">
        <is>
          <t>Transformei a rotina de um SDR em 36 Skills para usar no Claude.</t>
        </is>
      </c>
      <c r="J9" s="22" t="inlineStr">
        <is>
          <t>SDR</t>
        </is>
      </c>
    </row>
    <row r="10">
      <c r="A10" s="13" t="inlineStr">
        <is>
          <t>Luan Garcia Hinkel</t>
        </is>
      </c>
      <c r="B10" s="13" t="inlineStr">
        <is>
          <t>MATCHED</t>
        </is>
      </c>
      <c r="C10" s="13" t="inlineStr">
        <is>
          <t>Sales Operations Junior</t>
        </is>
      </c>
      <c r="D10" s="13" t="inlineStr">
        <is>
          <t>HostGator América Latina</t>
        </is>
      </c>
      <c r="E10" s="13" t="inlineStr">
        <is>
          <t>2026-07-29</t>
        </is>
      </c>
      <c r="F10" s="13" t="inlineStr">
        <is>
          <t>2026-07-29</t>
        </is>
      </c>
      <c r="G10" s="13" t="inlineStr">
        <is>
          <t>Victor Baggio</t>
        </is>
      </c>
      <c r="H10" s="13" t="inlineStr">
        <is>
          <t>OS</t>
        </is>
      </c>
      <c r="I10" s="13" t="inlineStr">
        <is>
          <t>Criei um "Segundo Cérebro" pra minha empresa com o Claude. Nunca fui tão produtivo na minha vida!</t>
        </is>
      </c>
      <c r="J10" s="22" t="inlineStr">
        <is>
          <t>OS</t>
        </is>
      </c>
    </row>
    <row r="11">
      <c r="A11" s="13" t="inlineStr">
        <is>
          <t>Luan Garcia Hinkel</t>
        </is>
      </c>
      <c r="B11" s="13" t="inlineStr">
        <is>
          <t>MATCHED</t>
        </is>
      </c>
      <c r="C11" s="13" t="inlineStr">
        <is>
          <t>Sales Operations Junior</t>
        </is>
      </c>
      <c r="D11" s="13" t="inlineStr">
        <is>
          <t>HostGator América Latina</t>
        </is>
      </c>
      <c r="E11" s="13" t="inlineStr">
        <is>
          <t>2026-08-12</t>
        </is>
      </c>
      <c r="F11" s="13" t="inlineStr">
        <is>
          <t>2026-08-11</t>
        </is>
      </c>
      <c r="G11" s="13" t="inlineStr">
        <is>
          <t>Victor Baggio</t>
        </is>
      </c>
      <c r="H11" s="13" t="inlineStr"/>
      <c r="I11" s="13" t="inlineStr">
        <is>
          <t>Transformei a rotina de um SDR em 36 Skills para usar no Claude.</t>
        </is>
      </c>
      <c r="J11" s="22" t="inlineStr">
        <is>
          <t>SDR</t>
        </is>
      </c>
    </row>
    <row r="12">
      <c r="A12" s="13" t="inlineStr">
        <is>
          <t>Marina Rachewsky Lemos</t>
        </is>
      </c>
      <c r="B12" s="13" t="inlineStr">
        <is>
          <t>REVIEW</t>
        </is>
      </c>
      <c r="C12" s="13" t="inlineStr">
        <is>
          <t>Embaixadora | Influenciadora</t>
        </is>
      </c>
      <c r="D12" s="13" t="inlineStr">
        <is>
          <t>HubSpot</t>
        </is>
      </c>
      <c r="E12" s="13" t="inlineStr">
        <is>
          <t>2026-05-28</t>
        </is>
      </c>
      <c r="F12" s="13" t="inlineStr">
        <is>
          <t>2026-05-27</t>
        </is>
      </c>
      <c r="G12" s="13" t="inlineStr"/>
      <c r="H12" s="13" t="inlineStr">
        <is>
          <t>Sem CTA</t>
        </is>
      </c>
      <c r="I12" s="13" t="inlineStr">
        <is>
          <t>Fazer forecast de vendas sempre foi uma m*rda</t>
        </is>
      </c>
      <c r="J12" s="22" t="inlineStr">
        <is>
          <t>Fabyulla Corrêa</t>
        </is>
      </c>
    </row>
    <row r="13">
      <c r="A13" s="13" t="inlineStr">
        <is>
          <t>Marina Rachewsky Lemos</t>
        </is>
      </c>
      <c r="B13" s="13" t="inlineStr">
        <is>
          <t>REVIEW</t>
        </is>
      </c>
      <c r="C13" s="13" t="inlineStr">
        <is>
          <t>Embaixadora | Influenciadora</t>
        </is>
      </c>
      <c r="D13" s="13" t="inlineStr">
        <is>
          <t>HubSpot</t>
        </is>
      </c>
      <c r="E13" s="13" t="inlineStr">
        <is>
          <t>2026-07-29</t>
        </is>
      </c>
      <c r="F13" s="13" t="inlineStr">
        <is>
          <t>2026-07-29</t>
        </is>
      </c>
      <c r="G13" s="13" t="inlineStr">
        <is>
          <t>Victor Baggio</t>
        </is>
      </c>
      <c r="H13" s="13" t="inlineStr">
        <is>
          <t>OS</t>
        </is>
      </c>
      <c r="I13" s="13" t="inlineStr">
        <is>
          <t>Criei um "Segundo Cérebro" pra minha empresa com o Claude. Nunca fui tão produtivo na minha vida!</t>
        </is>
      </c>
      <c r="J13" s="22" t="inlineStr">
        <is>
          <t>OS</t>
        </is>
      </c>
    </row>
    <row r="14">
      <c r="A14" s="13" t="inlineStr">
        <is>
          <t>Nicolò Giusti de Marle</t>
        </is>
      </c>
      <c r="B14" s="13" t="inlineStr">
        <is>
          <t>REVIEW</t>
        </is>
      </c>
      <c r="C14" s="13" t="inlineStr">
        <is>
          <t>Co-Founder</t>
        </is>
      </c>
      <c r="D14" s="13" t="inlineStr">
        <is>
          <t>LUXIA</t>
        </is>
      </c>
      <c r="E14" s="13" t="inlineStr">
        <is>
          <t>2026-08-21</t>
        </is>
      </c>
      <c r="F14" s="13" t="inlineStr">
        <is>
          <t>2026-08-11</t>
        </is>
      </c>
      <c r="G14" s="13" t="inlineStr">
        <is>
          <t>Victor Baggio</t>
        </is>
      </c>
      <c r="H14" s="13" t="inlineStr"/>
      <c r="I14" s="13" t="inlineStr">
        <is>
          <t>Transformei a rotina de um SDR em 36 Skills para usar no Claude.</t>
        </is>
      </c>
      <c r="J14" s="22" t="inlineStr">
        <is>
          <t>SDR</t>
        </is>
      </c>
    </row>
    <row r="15">
      <c r="A15" s="13" t="inlineStr">
        <is>
          <t>Patricia Zaniratto</t>
        </is>
      </c>
      <c r="B15" s="13" t="inlineStr">
        <is>
          <t>REVIEW</t>
        </is>
      </c>
      <c r="C15" s="13" t="inlineStr">
        <is>
          <t>Especialista em Prospecção B2B</t>
        </is>
      </c>
      <c r="D15" s="13" t="inlineStr">
        <is>
          <t>Zaniratto Comercial</t>
        </is>
      </c>
      <c r="E15" s="13" t="inlineStr">
        <is>
          <t>2026-08-12</t>
        </is>
      </c>
      <c r="F15" s="13" t="inlineStr">
        <is>
          <t>2026-08-11</t>
        </is>
      </c>
      <c r="G15" s="13" t="inlineStr">
        <is>
          <t>Victor Baggio</t>
        </is>
      </c>
      <c r="H15" s="13" t="inlineStr"/>
      <c r="I15" s="13" t="inlineStr">
        <is>
          <t>Transformei a rotina de um SDR em 36 Skills para usar no Claude.</t>
        </is>
      </c>
      <c r="J15" s="22" t="inlineStr">
        <is>
          <t>SDR</t>
        </is>
      </c>
    </row>
    <row r="16">
      <c r="A16" s="13" t="inlineStr">
        <is>
          <t>Rafael Gutierrez da Silva</t>
        </is>
      </c>
      <c r="B16" s="13" t="inlineStr">
        <is>
          <t>REVIEW</t>
        </is>
      </c>
      <c r="C16" s="13" t="inlineStr">
        <is>
          <t>Partner Manager</t>
        </is>
      </c>
      <c r="D16" s="13" t="inlineStr">
        <is>
          <t>Faiston</t>
        </is>
      </c>
      <c r="E16" s="13" t="inlineStr">
        <is>
          <t>2026-08-12</t>
        </is>
      </c>
      <c r="F16" s="13" t="inlineStr">
        <is>
          <t>2026-08-11</t>
        </is>
      </c>
      <c r="G16" s="13" t="inlineStr">
        <is>
          <t>Victor Baggio</t>
        </is>
      </c>
      <c r="H16" s="13" t="inlineStr"/>
      <c r="I16" s="13" t="inlineStr">
        <is>
          <t>Transformei a rotina de um SDR em 36 Skills para usar no Claude.</t>
        </is>
      </c>
      <c r="J16" s="22" t="inlineStr">
        <is>
          <t>SDR</t>
        </is>
      </c>
    </row>
    <row r="17">
      <c r="A17" s="13" t="inlineStr">
        <is>
          <t>Rafael Nunes da Silva</t>
        </is>
      </c>
      <c r="B17" s="13" t="inlineStr">
        <is>
          <t>REVIEW</t>
        </is>
      </c>
      <c r="C17" s="13" t="inlineStr">
        <is>
          <t>Estratégia Digital, Inovação e Produtos SaaS | Foco em Crescimento, Dados e Experiência do Usuário</t>
        </is>
      </c>
      <c r="D17" s="13" t="inlineStr"/>
      <c r="E17" s="13" t="inlineStr">
        <is>
          <t>2026-07-14</t>
        </is>
      </c>
      <c r="F17" s="13" t="inlineStr">
        <is>
          <t>2026-07-14</t>
        </is>
      </c>
      <c r="G17" s="13" t="inlineStr">
        <is>
          <t>Victor Baggio</t>
        </is>
      </c>
      <c r="H17" s="13" t="inlineStr">
        <is>
          <t>FLOW</t>
        </is>
      </c>
      <c r="I17" s="13" t="inlineStr">
        <is>
          <t>Enriquecimento de dados B2B no Brasil sempre foi complicado.</t>
        </is>
      </c>
      <c r="J17" s="22" t="inlineStr">
        <is>
          <t>Flow</t>
        </is>
      </c>
    </row>
    <row r="18">
      <c r="A18" s="13" t="inlineStr">
        <is>
          <t>Rafael Nunes da Silva</t>
        </is>
      </c>
      <c r="B18" s="13" t="inlineStr">
        <is>
          <t>REVIEW</t>
        </is>
      </c>
      <c r="C18" s="13" t="inlineStr">
        <is>
          <t>Estratégia Digital, Inovação e Produtos SaaS | Foco em Crescimento, Dados e Experiência do Usuário</t>
        </is>
      </c>
      <c r="D18" s="13" t="inlineStr"/>
      <c r="E18" s="13" t="inlineStr">
        <is>
          <t>2026-08-11</t>
        </is>
      </c>
      <c r="F18" s="13" t="inlineStr">
        <is>
          <t>2026-08-11</t>
        </is>
      </c>
      <c r="G18" s="13" t="inlineStr">
        <is>
          <t>Victor Baggio</t>
        </is>
      </c>
      <c r="H18" s="13" t="inlineStr"/>
      <c r="I18" s="13" t="inlineStr">
        <is>
          <t>Transformei a rotina de um SDR em 36 Skills para usar no Claude.</t>
        </is>
      </c>
      <c r="J18" s="22" t="inlineStr">
        <is>
          <t>SDR</t>
        </is>
      </c>
    </row>
    <row r="19">
      <c r="A19" s="13" t="inlineStr">
        <is>
          <t>Rafael Oliveira Silva</t>
        </is>
      </c>
      <c r="B19" s="13" t="inlineStr">
        <is>
          <t>REVIEW</t>
        </is>
      </c>
      <c r="C19" s="13" t="inlineStr">
        <is>
          <t>Supervisor de Inside Sales</t>
        </is>
      </c>
      <c r="D19" s="13" t="inlineStr">
        <is>
          <t>Sua LUZ</t>
        </is>
      </c>
      <c r="E19" s="13" t="inlineStr">
        <is>
          <t>2026-08-12</t>
        </is>
      </c>
      <c r="F19" s="13" t="inlineStr">
        <is>
          <t>2026-08-11</t>
        </is>
      </c>
      <c r="G19" s="13" t="inlineStr">
        <is>
          <t>Victor Baggio</t>
        </is>
      </c>
      <c r="H19" s="13" t="inlineStr"/>
      <c r="I19" s="13" t="inlineStr">
        <is>
          <t>Transformei a rotina de um SDR em 36 Skills para usar no Claude.</t>
        </is>
      </c>
      <c r="J19" s="22" t="inlineStr">
        <is>
          <t>SDR</t>
        </is>
      </c>
    </row>
    <row r="20">
      <c r="A20" s="13" t="inlineStr">
        <is>
          <t>Rodrigo Nascimento</t>
        </is>
      </c>
      <c r="B20" s="13" t="inlineStr">
        <is>
          <t>REVIEW</t>
        </is>
      </c>
      <c r="C20" s="13" t="inlineStr">
        <is>
          <t>Head Comercial | Head de Produto · SaaS · RevOps · Go-to-Market · Pré-vendas · IA aplicada a Vendas</t>
        </is>
      </c>
      <c r="D20" s="13" t="inlineStr">
        <is>
          <t>Keeta</t>
        </is>
      </c>
      <c r="E20" s="13" t="inlineStr">
        <is>
          <t>2026-07-29</t>
        </is>
      </c>
      <c r="F20" s="13" t="inlineStr">
        <is>
          <t>2026-07-29</t>
        </is>
      </c>
      <c r="G20" s="13" t="inlineStr">
        <is>
          <t>Victor Baggio</t>
        </is>
      </c>
      <c r="H20" s="13" t="inlineStr">
        <is>
          <t>OS</t>
        </is>
      </c>
      <c r="I20" s="13" t="inlineStr">
        <is>
          <t>Criei um "Segundo Cérebro" pra minha empresa com o Claude. Nunca fui tão produtivo na minha vida!</t>
        </is>
      </c>
      <c r="J20" s="22" t="inlineStr">
        <is>
          <t>OS</t>
        </is>
      </c>
    </row>
    <row r="21">
      <c r="A21" s="13" t="inlineStr">
        <is>
          <t>Rodrigo Nascimento</t>
        </is>
      </c>
      <c r="B21" s="13" t="inlineStr">
        <is>
          <t>REVIEW</t>
        </is>
      </c>
      <c r="C21" s="13" t="inlineStr">
        <is>
          <t>Head Comercial | Head de Produto · SaaS · RevOps · Go-to-Market · Pré-vendas · IA aplicada a Vendas</t>
        </is>
      </c>
      <c r="D21" s="13" t="inlineStr">
        <is>
          <t>Keeta</t>
        </is>
      </c>
      <c r="E21" s="13" t="inlineStr">
        <is>
          <t>2026-08-12</t>
        </is>
      </c>
      <c r="F21" s="13" t="inlineStr">
        <is>
          <t>2026-08-11</t>
        </is>
      </c>
      <c r="G21" s="13" t="inlineStr">
        <is>
          <t>Victor Baggio</t>
        </is>
      </c>
      <c r="H21" s="13" t="inlineStr"/>
      <c r="I21" s="13" t="inlineStr">
        <is>
          <t>Transformei a rotina de um SDR em 36 Skills para usar no Claude.</t>
        </is>
      </c>
      <c r="J21" s="22" t="inlineStr">
        <is>
          <t>SDR</t>
        </is>
      </c>
    </row>
    <row r="22">
      <c r="A22" s="13" t="inlineStr">
        <is>
          <t>Sidnei Brianti</t>
        </is>
      </c>
      <c r="B22" s="13" t="inlineStr">
        <is>
          <t>REVIEW</t>
        </is>
      </c>
      <c r="C22" s="13" t="inlineStr">
        <is>
          <t>Fundador</t>
        </is>
      </c>
      <c r="D22" s="13" t="inlineStr">
        <is>
          <t>LinkaTudo</t>
        </is>
      </c>
      <c r="E22" s="13" t="inlineStr">
        <is>
          <t>2026-08-11</t>
        </is>
      </c>
      <c r="F22" s="13" t="inlineStr">
        <is>
          <t>2026-08-11</t>
        </is>
      </c>
      <c r="G22" s="13" t="inlineStr">
        <is>
          <t>Victor Baggio</t>
        </is>
      </c>
      <c r="H22" s="13" t="inlineStr"/>
      <c r="I22" s="13" t="inlineStr">
        <is>
          <t>Transformei a rotina de um SDR em 36 Skills para usar no Claude.</t>
        </is>
      </c>
      <c r="J22" s="22" t="inlineStr">
        <is>
          <t>SDR</t>
        </is>
      </c>
    </row>
    <row r="23">
      <c r="A23" s="13" t="inlineStr">
        <is>
          <t>Vinícius Silva</t>
        </is>
      </c>
      <c r="B23" s="13" t="inlineStr">
        <is>
          <t>REVIEW</t>
        </is>
      </c>
      <c r="C23" s="13" t="inlineStr">
        <is>
          <t>Consultor &amp; Estrategista Digital</t>
        </is>
      </c>
      <c r="D23" s="13" t="inlineStr">
        <is>
          <t>Aigle Aeternus Hub</t>
        </is>
      </c>
      <c r="E23" s="13" t="inlineStr">
        <is>
          <t>2026-07-03</t>
        </is>
      </c>
      <c r="F23" s="13" t="inlineStr">
        <is>
          <t>2026-07-03</t>
        </is>
      </c>
      <c r="G23" s="13" t="inlineStr">
        <is>
          <t>Victor Baggio</t>
        </is>
      </c>
      <c r="H23" s="13" t="inlineStr">
        <is>
          <t>FABLE</t>
        </is>
      </c>
      <c r="I23" s="13" t="inlineStr">
        <is>
          <t>Você só tem mais 5 dias pra usar o Claude Fable sem pagar extra.</t>
        </is>
      </c>
      <c r="J23" s="22" t="inlineStr">
        <is>
          <t>Fable</t>
        </is>
      </c>
    </row>
    <row r="24">
      <c r="A24" s="13" t="inlineStr">
        <is>
          <t>Vinícius Silva</t>
        </is>
      </c>
      <c r="B24" s="13" t="inlineStr">
        <is>
          <t>REVIEW</t>
        </is>
      </c>
      <c r="C24" s="13" t="inlineStr">
        <is>
          <t>Consultor &amp; Estrategista Digital</t>
        </is>
      </c>
      <c r="D24" s="13" t="inlineStr">
        <is>
          <t>Aigle Aeternus Hub</t>
        </is>
      </c>
      <c r="E24" s="13" t="inlineStr">
        <is>
          <t>2026-07-14</t>
        </is>
      </c>
      <c r="F24" s="13" t="inlineStr">
        <is>
          <t>2026-07-14</t>
        </is>
      </c>
      <c r="G24" s="13" t="inlineStr">
        <is>
          <t>Victor Baggio</t>
        </is>
      </c>
      <c r="H24" s="13" t="inlineStr">
        <is>
          <t>FLOW</t>
        </is>
      </c>
      <c r="I24" s="13" t="inlineStr">
        <is>
          <t>Enriquecimento de dados B2B no Brasil sempre foi complicado.</t>
        </is>
      </c>
      <c r="J24" s="22" t="inlineStr">
        <is>
          <t>FLOW</t>
        </is>
      </c>
    </row>
    <row r="25">
      <c r="A25" s="13" t="inlineStr">
        <is>
          <t>Vinícius Silva</t>
        </is>
      </c>
      <c r="B25" s="13" t="inlineStr">
        <is>
          <t>REVIEW</t>
        </is>
      </c>
      <c r="C25" s="13" t="inlineStr">
        <is>
          <t>Consultor &amp; Estrategista Digital</t>
        </is>
      </c>
      <c r="D25" s="13" t="inlineStr">
        <is>
          <t>Aigle Aeternus Hub</t>
        </is>
      </c>
      <c r="E25" s="13" t="inlineStr">
        <is>
          <t>2026-07-29</t>
        </is>
      </c>
      <c r="F25" s="13" t="inlineStr">
        <is>
          <t>2026-07-29</t>
        </is>
      </c>
      <c r="G25" s="13" t="inlineStr">
        <is>
          <t>Victor Baggio</t>
        </is>
      </c>
      <c r="H25" s="13" t="inlineStr">
        <is>
          <t>OS</t>
        </is>
      </c>
      <c r="I25" s="13" t="inlineStr">
        <is>
          <t>Criei um "Segundo Cérebro" pra minha empresa com o Claude. Nunca fui tão produtivo na minha vida!</t>
        </is>
      </c>
      <c r="J25" s="22" t="inlineStr">
        <is>
          <t>OS</t>
        </is>
      </c>
    </row>
    <row r="26">
      <c r="A26" s="13" t="inlineStr">
        <is>
          <t>Vinícius Silva</t>
        </is>
      </c>
      <c r="B26" s="13" t="inlineStr">
        <is>
          <t>REVIEW</t>
        </is>
      </c>
      <c r="C26" s="13" t="inlineStr">
        <is>
          <t>Consultor &amp; Estrategista Digital</t>
        </is>
      </c>
      <c r="D26" s="13" t="inlineStr">
        <is>
          <t>Aigle Aeternus Hub</t>
        </is>
      </c>
      <c r="E26" s="13" t="inlineStr">
        <is>
          <t>2026-08-11</t>
        </is>
      </c>
      <c r="F26" s="13" t="inlineStr">
        <is>
          <t>2026-08-11</t>
        </is>
      </c>
      <c r="G26" s="13" t="inlineStr">
        <is>
          <t>Victor Baggio</t>
        </is>
      </c>
      <c r="H26" s="13" t="inlineStr"/>
      <c r="I26" s="13" t="inlineStr">
        <is>
          <t>Transformei a rotina de um SDR em 36 Skills para usar no Claude.</t>
        </is>
      </c>
      <c r="J26" s="22" t="inlineStr">
        <is>
          <t>SDR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44" customWidth="1" min="4" max="4"/>
    <col width="10" customWidth="1" min="5" max="5"/>
    <col width="17" customWidth="1" min="6" max="6"/>
    <col width="16" customWidth="1" min="7" max="7"/>
  </cols>
  <sheetData>
    <row r="1" ht="30" customHeight="1">
      <c r="A1" s="11" t="inlineStr">
        <is>
          <t>Nome (Tally)</t>
        </is>
      </c>
      <c r="B1" s="11" t="inlineStr">
        <is>
          <t>E-mail</t>
        </is>
      </c>
      <c r="C1" s="11" t="inlineStr">
        <is>
          <t>Ja era audiencia?</t>
        </is>
      </c>
      <c r="D1" s="11" t="inlineStr">
        <is>
          <t>Lead magnet baixado antes</t>
        </is>
      </c>
      <c r="E1" s="11" t="inlineStr">
        <is>
          <t>Form ID</t>
        </is>
      </c>
      <c r="F1" s="11" t="inlineStr">
        <is>
          <t>Baixado em</t>
        </is>
      </c>
      <c r="G1" s="11" t="inlineStr">
        <is>
          <t>Telefone naquele form</t>
        </is>
      </c>
    </row>
    <row r="2">
      <c r="A2" s="13" t="inlineStr">
        <is>
          <t>Andrei Lucas</t>
        </is>
      </c>
      <c r="B2" s="13" t="inlineStr">
        <is>
          <t>andreidias.96@outlook.com</t>
        </is>
      </c>
      <c r="C2" s="13" t="inlineStr">
        <is>
          <t>Baixou outro lead magnet</t>
        </is>
      </c>
      <c r="D2" s="13" t="inlineStr">
        <is>
          <t>O Setup inicial do OS da sua empresa</t>
        </is>
      </c>
      <c r="E2" s="13" t="inlineStr">
        <is>
          <t>7RO9QA</t>
        </is>
      </c>
      <c r="F2" s="13" t="inlineStr">
        <is>
          <t>2026-07-30 21:20</t>
        </is>
      </c>
      <c r="G2" s="13" t="inlineStr"/>
    </row>
    <row r="3">
      <c r="A3" s="13" t="inlineStr">
        <is>
          <t>Celio Andrade</t>
        </is>
      </c>
      <c r="B3" s="13" t="inlineStr">
        <is>
          <t>cmilodeandrade@gmail.com</t>
        </is>
      </c>
      <c r="C3" s="13" t="inlineStr">
        <is>
          <t>Comentou em post</t>
        </is>
      </c>
      <c r="D3" s="13" t="inlineStr">
        <is>
          <t>Claude para Pequenos Negócios</t>
        </is>
      </c>
      <c r="E3" s="13" t="inlineStr">
        <is>
          <t>lb1gzV</t>
        </is>
      </c>
      <c r="F3" s="13" t="inlineStr">
        <is>
          <t>2026-07-24 18:02</t>
        </is>
      </c>
      <c r="G3" s="13" t="inlineStr"/>
    </row>
    <row r="4">
      <c r="A4" s="13" t="inlineStr">
        <is>
          <t>Celio Andrade</t>
        </is>
      </c>
      <c r="B4" s="13" t="inlineStr">
        <is>
          <t>cmilodeandrade@gmail.com</t>
        </is>
      </c>
      <c r="C4" s="13" t="inlineStr">
        <is>
          <t>Comentou em post</t>
        </is>
      </c>
      <c r="D4" s="13" t="inlineStr">
        <is>
          <t>O Setup inicial do OS da sua empresa</t>
        </is>
      </c>
      <c r="E4" s="13" t="inlineStr">
        <is>
          <t>7RO9QA</t>
        </is>
      </c>
      <c r="F4" s="13" t="inlineStr">
        <is>
          <t>2026-07-30 13:22</t>
        </is>
      </c>
      <c r="G4" s="13" t="inlineStr"/>
    </row>
    <row r="5">
      <c r="A5" s="13" t="inlineStr">
        <is>
          <t>Cíntia Fonseca</t>
        </is>
      </c>
      <c r="B5" s="13" t="inlineStr">
        <is>
          <t>cintiafonseeca@gmail.com</t>
        </is>
      </c>
      <c r="C5" s="13" t="inlineStr">
        <is>
          <t>Comentou em post</t>
        </is>
      </c>
      <c r="D5" s="13" t="inlineStr">
        <is>
          <t>36 Skills de SDR para Claude</t>
        </is>
      </c>
      <c r="E5" s="13" t="inlineStr">
        <is>
          <t>VLaVrE</t>
        </is>
      </c>
      <c r="F5" s="13" t="inlineStr">
        <is>
          <t>2026-08-25 13:02</t>
        </is>
      </c>
      <c r="G5" s="13" t="inlineStr">
        <is>
          <t>+5513996215600</t>
        </is>
      </c>
    </row>
    <row r="6">
      <c r="A6" s="13" t="inlineStr">
        <is>
          <t>FELIPE NUNES</t>
        </is>
      </c>
      <c r="B6" s="13" t="inlineStr">
        <is>
          <t>felipearian10197@gmail.com</t>
        </is>
      </c>
      <c r="C6" s="13" t="inlineStr">
        <is>
          <t>Baixou outro lead magnet</t>
        </is>
      </c>
      <c r="D6" s="13" t="inlineStr">
        <is>
          <t>Claude Flabe 5</t>
        </is>
      </c>
      <c r="E6" s="13" t="inlineStr">
        <is>
          <t>kdpqLe</t>
        </is>
      </c>
      <c r="F6" s="13" t="inlineStr">
        <is>
          <t>2026-07-03 12:23</t>
        </is>
      </c>
      <c r="G6" s="13" t="inlineStr"/>
    </row>
    <row r="7">
      <c r="A7" s="13" t="inlineStr">
        <is>
          <t>FELIPE NUNES</t>
        </is>
      </c>
      <c r="B7" s="13" t="inlineStr">
        <is>
          <t>fereservas@gmail.com</t>
        </is>
      </c>
      <c r="C7" s="13" t="inlineStr">
        <is>
          <t>Baixou outro lead magnet</t>
        </is>
      </c>
      <c r="D7" s="13" t="inlineStr">
        <is>
          <t>Claude Flabe 5</t>
        </is>
      </c>
      <c r="E7" s="13" t="inlineStr">
        <is>
          <t>kdpqLe</t>
        </is>
      </c>
      <c r="F7" s="13" t="inlineStr">
        <is>
          <t>2026-07-03 13:41</t>
        </is>
      </c>
      <c r="G7" s="13" t="inlineStr"/>
    </row>
    <row r="8">
      <c r="A8" s="13" t="inlineStr">
        <is>
          <t>FELIPE NUNES</t>
        </is>
      </c>
      <c r="B8" s="13" t="inlineStr">
        <is>
          <t>fereservas@gmail.com</t>
        </is>
      </c>
      <c r="C8" s="13" t="inlineStr">
        <is>
          <t>Baixou outro lead magnet</t>
        </is>
      </c>
      <c r="D8" s="13" t="inlineStr">
        <is>
          <t>KipFlow - API brasileira boa de verdade</t>
        </is>
      </c>
      <c r="E8" s="13" t="inlineStr">
        <is>
          <t>EkEkX4</t>
        </is>
      </c>
      <c r="F8" s="13" t="inlineStr">
        <is>
          <t>2026-07-10 17:02</t>
        </is>
      </c>
      <c r="G8" s="13" t="inlineStr"/>
    </row>
    <row r="9">
      <c r="A9" s="13" t="inlineStr">
        <is>
          <t>FELIPE NUNES</t>
        </is>
      </c>
      <c r="B9" s="13" t="inlineStr">
        <is>
          <t>felipearian10197@gmail.com</t>
        </is>
      </c>
      <c r="C9" s="13" t="inlineStr">
        <is>
          <t>Baixou outro lead magnet</t>
        </is>
      </c>
      <c r="D9" s="13" t="inlineStr">
        <is>
          <t>KipFlow - API brasileira boa de verdade</t>
        </is>
      </c>
      <c r="E9" s="13" t="inlineStr">
        <is>
          <t>EkEkX4</t>
        </is>
      </c>
      <c r="F9" s="13" t="inlineStr">
        <is>
          <t>2026-07-14 03:47</t>
        </is>
      </c>
      <c r="G9" s="13" t="inlineStr"/>
    </row>
    <row r="10">
      <c r="A10" s="13" t="inlineStr">
        <is>
          <t>FELIPE NUNES</t>
        </is>
      </c>
      <c r="B10" s="13" t="inlineStr">
        <is>
          <t>fereservas@gmail.com</t>
        </is>
      </c>
      <c r="C10" s="13" t="inlineStr">
        <is>
          <t>Baixou outro lead magnet</t>
        </is>
      </c>
      <c r="D10" s="13" t="inlineStr">
        <is>
          <t>O Setup inicial do OS da sua empresa</t>
        </is>
      </c>
      <c r="E10" s="13" t="inlineStr">
        <is>
          <t>7RO9QA</t>
        </is>
      </c>
      <c r="F10" s="13" t="inlineStr">
        <is>
          <t>2026-07-29 03:36</t>
        </is>
      </c>
      <c r="G10" s="13" t="inlineStr"/>
    </row>
    <row r="11">
      <c r="A11" s="13" t="inlineStr">
        <is>
          <t>FELIPE NUNES</t>
        </is>
      </c>
      <c r="B11" s="13" t="inlineStr">
        <is>
          <t>fereservas@gmail.com</t>
        </is>
      </c>
      <c r="C11" s="13" t="inlineStr">
        <is>
          <t>Baixou outro lead magnet</t>
        </is>
      </c>
      <c r="D11" s="13" t="inlineStr">
        <is>
          <t>36 Skills de SDR para Claude</t>
        </is>
      </c>
      <c r="E11" s="13" t="inlineStr">
        <is>
          <t>VLaVrE</t>
        </is>
      </c>
      <c r="F11" s="13" t="inlineStr">
        <is>
          <t>2026-08-05 02:27</t>
        </is>
      </c>
      <c r="G11" s="13" t="inlineStr"/>
    </row>
    <row r="12">
      <c r="A12" s="13" t="inlineStr">
        <is>
          <t>FELIPE NUNES</t>
        </is>
      </c>
      <c r="B12" s="13" t="inlineStr">
        <is>
          <t>fereservas@gmail.com</t>
        </is>
      </c>
      <c r="C12" s="13" t="inlineStr">
        <is>
          <t>Baixou outro lead magnet</t>
        </is>
      </c>
      <c r="D12" s="13" t="inlineStr">
        <is>
          <t>36 Skills de SDR para Claude</t>
        </is>
      </c>
      <c r="E12" s="13" t="inlineStr">
        <is>
          <t>VLaVrE</t>
        </is>
      </c>
      <c r="F12" s="13" t="inlineStr">
        <is>
          <t>2026-08-05 12:12</t>
        </is>
      </c>
      <c r="G12" s="13" t="inlineStr"/>
    </row>
    <row r="13">
      <c r="A13" s="13" t="inlineStr">
        <is>
          <t>FELIPE NUNES</t>
        </is>
      </c>
      <c r="B13" s="13" t="inlineStr">
        <is>
          <t>fereservas@gmail.com</t>
        </is>
      </c>
      <c r="C13" s="13" t="inlineStr">
        <is>
          <t>Baixou outro lead magnet</t>
        </is>
      </c>
      <c r="D13" s="13" t="inlineStr">
        <is>
          <t>36 Skills de SDR para Claude</t>
        </is>
      </c>
      <c r="E13" s="13" t="inlineStr">
        <is>
          <t>VLaVrE</t>
        </is>
      </c>
      <c r="F13" s="13" t="inlineStr">
        <is>
          <t>2026-08-05 12:13</t>
        </is>
      </c>
      <c r="G13" s="13" t="inlineStr"/>
    </row>
    <row r="14">
      <c r="A14" s="13" t="inlineStr">
        <is>
          <t>FELIPE NUNES</t>
        </is>
      </c>
      <c r="B14" s="13" t="inlineStr">
        <is>
          <t>fereservas@gmail.com</t>
        </is>
      </c>
      <c r="C14" s="13" t="inlineStr">
        <is>
          <t>Baixou outro lead magnet</t>
        </is>
      </c>
      <c r="D14" s="13" t="inlineStr">
        <is>
          <t>36 Skills de SDR para Claude</t>
        </is>
      </c>
      <c r="E14" s="13" t="inlineStr">
        <is>
          <t>VLaVrE</t>
        </is>
      </c>
      <c r="F14" s="13" t="inlineStr">
        <is>
          <t>2026-08-11 14:27</t>
        </is>
      </c>
      <c r="G14" s="13" t="inlineStr"/>
    </row>
    <row r="15">
      <c r="A15" s="13" t="inlineStr">
        <is>
          <t>FELIPE NUNES</t>
        </is>
      </c>
      <c r="B15" s="13" t="inlineStr">
        <is>
          <t>fereservas@gmail.com</t>
        </is>
      </c>
      <c r="C15" s="13" t="inlineStr">
        <is>
          <t>Baixou outro lead magnet</t>
        </is>
      </c>
      <c r="D15" s="13" t="inlineStr">
        <is>
          <t>36 Skills de SDR para Claude</t>
        </is>
      </c>
      <c r="E15" s="13" t="inlineStr">
        <is>
          <t>VLaVrE</t>
        </is>
      </c>
      <c r="F15" s="13" t="inlineStr">
        <is>
          <t>2026-08-11 14:31</t>
        </is>
      </c>
      <c r="G15" s="13" t="inlineStr"/>
    </row>
    <row r="16">
      <c r="A16" s="13" t="inlineStr">
        <is>
          <t>FELIPE NUNES</t>
        </is>
      </c>
      <c r="B16" s="13" t="inlineStr">
        <is>
          <t>felipearian10197@gmail.com</t>
        </is>
      </c>
      <c r="C16" s="13" t="inlineStr">
        <is>
          <t>Baixou outro lead magnet</t>
        </is>
      </c>
      <c r="D16" s="13" t="inlineStr">
        <is>
          <t>36 Skills de SDR para Claude</t>
        </is>
      </c>
      <c r="E16" s="13" t="inlineStr">
        <is>
          <t>VLaVrE</t>
        </is>
      </c>
      <c r="F16" s="13" t="inlineStr">
        <is>
          <t>2026-08-14 13:23</t>
        </is>
      </c>
      <c r="G16" s="13" t="inlineStr">
        <is>
          <t>+5511952960701</t>
        </is>
      </c>
    </row>
    <row r="17">
      <c r="A17" s="13" t="inlineStr">
        <is>
          <t>FELIPE NUNES</t>
        </is>
      </c>
      <c r="B17" s="13" t="inlineStr">
        <is>
          <t>fereservas@gmail.com</t>
        </is>
      </c>
      <c r="C17" s="13" t="inlineStr">
        <is>
          <t>Baixou outro lead magnet</t>
        </is>
      </c>
      <c r="D17" s="13" t="inlineStr">
        <is>
          <t>KipFlow - API brasileira boa de verdade</t>
        </is>
      </c>
      <c r="E17" s="13" t="inlineStr">
        <is>
          <t>EkEkX4</t>
        </is>
      </c>
      <c r="F17" s="13" t="inlineStr">
        <is>
          <t>2026-08-14 19:52</t>
        </is>
      </c>
      <c r="G17" s="13" t="inlineStr">
        <is>
          <t>+5511952960701</t>
        </is>
      </c>
    </row>
    <row r="18">
      <c r="A18" s="13" t="inlineStr">
        <is>
          <t>FELIPE NUNES</t>
        </is>
      </c>
      <c r="B18" s="13" t="inlineStr">
        <is>
          <t>fereservas@gmail.com</t>
        </is>
      </c>
      <c r="C18" s="13" t="inlineStr">
        <is>
          <t>Baixou outro lead magnet</t>
        </is>
      </c>
      <c r="D18" s="13" t="inlineStr">
        <is>
          <t>Claude Flabe 5</t>
        </is>
      </c>
      <c r="E18" s="13" t="inlineStr">
        <is>
          <t>kdpqLe</t>
        </is>
      </c>
      <c r="F18" s="13" t="inlineStr">
        <is>
          <t>2026-08-17 20:37</t>
        </is>
      </c>
      <c r="G18" s="13" t="inlineStr">
        <is>
          <t>+5511952960701</t>
        </is>
      </c>
    </row>
    <row r="19">
      <c r="A19" s="13" t="inlineStr">
        <is>
          <t>Gustavo Santos</t>
        </is>
      </c>
      <c r="B19" s="13" t="inlineStr">
        <is>
          <t>gustavomaedoyt@gmail.com</t>
        </is>
      </c>
      <c r="C19" s="13" t="inlineStr">
        <is>
          <t>Baixou outro lead magnet</t>
        </is>
      </c>
      <c r="D19" s="13" t="inlineStr">
        <is>
          <t>O Setup inicial do OS da sua empresa</t>
        </is>
      </c>
      <c r="E19" s="13" t="inlineStr">
        <is>
          <t>7RO9QA</t>
        </is>
      </c>
      <c r="F19" s="13" t="inlineStr">
        <is>
          <t>2026-08-09 12:58</t>
        </is>
      </c>
      <c r="G19" s="13" t="inlineStr"/>
    </row>
    <row r="20">
      <c r="A20" s="13" t="inlineStr">
        <is>
          <t>marina lemos</t>
        </is>
      </c>
      <c r="B20" s="13" t="inlineStr">
        <is>
          <t>marinarlemos08@gmail.com</t>
        </is>
      </c>
      <c r="C20" s="13" t="inlineStr">
        <is>
          <t>Comentou em post</t>
        </is>
      </c>
      <c r="D20" s="13" t="inlineStr">
        <is>
          <t>Acesse o grupo VIP da Comunidade Playbook Lab</t>
        </is>
      </c>
      <c r="E20" s="13" t="inlineStr">
        <is>
          <t>EkG6vN</t>
        </is>
      </c>
      <c r="F20" s="13" t="inlineStr">
        <is>
          <t>2026-08-25 19:04</t>
        </is>
      </c>
      <c r="G20" s="13" t="inlineStr">
        <is>
          <t>+5548988191425</t>
        </is>
      </c>
    </row>
    <row r="21">
      <c r="A21" s="13" t="inlineStr">
        <is>
          <t>Rafael Comin</t>
        </is>
      </c>
      <c r="B21" s="13" t="inlineStr">
        <is>
          <t>clientes.rafaelcomin@gmail.com</t>
        </is>
      </c>
      <c r="C21" s="13" t="inlineStr">
        <is>
          <t>Baixou outro lead magnet</t>
        </is>
      </c>
      <c r="D21" s="13" t="inlineStr">
        <is>
          <t>Claude Cowork para Vendas</t>
        </is>
      </c>
      <c r="E21" s="13" t="inlineStr">
        <is>
          <t>Y5q1gB</t>
        </is>
      </c>
      <c r="F21" s="13" t="inlineStr">
        <is>
          <t>2026-08-11 12:41</t>
        </is>
      </c>
      <c r="G21" s="13" t="inlineStr"/>
    </row>
    <row r="22">
      <c r="A22" s="13" t="inlineStr">
        <is>
          <t>Rafael Silva</t>
        </is>
      </c>
      <c r="B22" s="13" t="inlineStr">
        <is>
          <t>orafaelnsilva@gmail.com</t>
        </is>
      </c>
      <c r="C22" s="13" t="inlineStr">
        <is>
          <t>Comentou em post</t>
        </is>
      </c>
      <c r="D22" s="13" t="inlineStr">
        <is>
          <t>36 Skills de SDR para Claude</t>
        </is>
      </c>
      <c r="E22" s="13" t="inlineStr">
        <is>
          <t>VLaVrE</t>
        </is>
      </c>
      <c r="F22" s="13" t="inlineStr">
        <is>
          <t>2026-08-11 17:50</t>
        </is>
      </c>
      <c r="G22" s="13" t="inlineStr"/>
    </row>
    <row r="23">
      <c r="A23" s="13" t="inlineStr">
        <is>
          <t>Rafael Silva</t>
        </is>
      </c>
      <c r="B23" s="13" t="inlineStr">
        <is>
          <t>orafaelnsilva@gmail.com</t>
        </is>
      </c>
      <c r="C23" s="13" t="inlineStr">
        <is>
          <t>Comentou em post</t>
        </is>
      </c>
      <c r="D23" s="13" t="inlineStr">
        <is>
          <t>36 Skills de SDR para Claude</t>
        </is>
      </c>
      <c r="E23" s="13" t="inlineStr">
        <is>
          <t>VLaVrE</t>
        </is>
      </c>
      <c r="F23" s="13" t="inlineStr">
        <is>
          <t>2026-08-11 17:51</t>
        </is>
      </c>
      <c r="G23" s="13" t="inlineStr"/>
    </row>
    <row r="24">
      <c r="A24" s="13" t="inlineStr">
        <is>
          <t>Rafael Silva</t>
        </is>
      </c>
      <c r="B24" s="13" t="inlineStr">
        <is>
          <t>orafaelnsilva@gmail.com</t>
        </is>
      </c>
      <c r="C24" s="13" t="inlineStr">
        <is>
          <t>Comentou em post</t>
        </is>
      </c>
      <c r="D24" s="13" t="inlineStr">
        <is>
          <t>36 Skills de SDR para Claude</t>
        </is>
      </c>
      <c r="E24" s="13" t="inlineStr">
        <is>
          <t>VLaVrE</t>
        </is>
      </c>
      <c r="F24" s="13" t="inlineStr">
        <is>
          <t>2026-08-26 12:16</t>
        </is>
      </c>
      <c r="G24" s="13" t="inlineStr">
        <is>
          <t>+5511972233392</t>
        </is>
      </c>
    </row>
    <row r="25">
      <c r="A25" s="13" t="inlineStr">
        <is>
          <t>Sidnei Brianti</t>
        </is>
      </c>
      <c r="B25" s="13" t="inlineStr">
        <is>
          <t>scbrianti2022@gmail.com</t>
        </is>
      </c>
      <c r="C25" s="13" t="inlineStr">
        <is>
          <t>Comentou em post</t>
        </is>
      </c>
      <c r="D25" s="13" t="inlineStr">
        <is>
          <t>36 Skills de SDR para Claude</t>
        </is>
      </c>
      <c r="E25" s="13" t="inlineStr">
        <is>
          <t>VLaVrE</t>
        </is>
      </c>
      <c r="F25" s="13" t="inlineStr">
        <is>
          <t>2026-08-11 22:36</t>
        </is>
      </c>
      <c r="G25" s="13" t="inlineStr"/>
    </row>
    <row r="26">
      <c r="A26" s="13" t="inlineStr">
        <is>
          <t>Sidnei Brianti</t>
        </is>
      </c>
      <c r="B26" s="13" t="inlineStr">
        <is>
          <t>scbrianti2022@gmail.com</t>
        </is>
      </c>
      <c r="C26" s="13" t="inlineStr">
        <is>
          <t>Comentou em post</t>
        </is>
      </c>
      <c r="D26" s="13" t="inlineStr">
        <is>
          <t>36 Skills de SDR para Claude</t>
        </is>
      </c>
      <c r="E26" s="13" t="inlineStr">
        <is>
          <t>VLaVrE</t>
        </is>
      </c>
      <c r="F26" s="13" t="inlineStr">
        <is>
          <t>2026-08-11 22:37</t>
        </is>
      </c>
      <c r="G26" s="13" t="inlineStr"/>
    </row>
    <row r="27">
      <c r="A27" s="13" t="inlineStr">
        <is>
          <t>Sidnei Brianti</t>
        </is>
      </c>
      <c r="B27" s="13" t="inlineStr">
        <is>
          <t>scbrianti2022@gmail.com</t>
        </is>
      </c>
      <c r="C27" s="13" t="inlineStr">
        <is>
          <t>Comentou em post</t>
        </is>
      </c>
      <c r="D27" s="13" t="inlineStr">
        <is>
          <t>36 Skills de SDR para Claude</t>
        </is>
      </c>
      <c r="E27" s="13" t="inlineStr">
        <is>
          <t>VLaVrE</t>
        </is>
      </c>
      <c r="F27" s="13" t="inlineStr">
        <is>
          <t>2026-08-11 23:39</t>
        </is>
      </c>
      <c r="G27" s="13" t="inlineStr"/>
    </row>
    <row r="28">
      <c r="A28" s="13" t="inlineStr">
        <is>
          <t>Teste Teste</t>
        </is>
      </c>
      <c r="B28" s="13" t="inlineStr">
        <is>
          <t>teste@teste.com.br</t>
        </is>
      </c>
      <c r="C28" s="13" t="inlineStr">
        <is>
          <t>Baixou outro lead magnet</t>
        </is>
      </c>
      <c r="D28" s="13" t="inlineStr">
        <is>
          <t>KipFlow - API brasileira boa de verdade</t>
        </is>
      </c>
      <c r="E28" s="13" t="inlineStr">
        <is>
          <t>EkEkX4</t>
        </is>
      </c>
      <c r="F28" s="13" t="inlineStr">
        <is>
          <t>2026-07-14 14:15</t>
        </is>
      </c>
      <c r="G28" s="13" t="inlineStr"/>
    </row>
    <row r="29">
      <c r="A29" s="13" t="inlineStr">
        <is>
          <t>Teste Teste</t>
        </is>
      </c>
      <c r="B29" s="13" t="inlineStr">
        <is>
          <t>teste@teste.com.br</t>
        </is>
      </c>
      <c r="C29" s="13" t="inlineStr">
        <is>
          <t>Baixou outro lead magnet</t>
        </is>
      </c>
      <c r="D29" s="13" t="inlineStr">
        <is>
          <t>18 MCPs + o guia de instalação completo</t>
        </is>
      </c>
      <c r="E29" s="13" t="inlineStr">
        <is>
          <t>jaqkJJ</t>
        </is>
      </c>
      <c r="F29" s="13" t="inlineStr">
        <is>
          <t>2026-07-28 16:29</t>
        </is>
      </c>
      <c r="G29" s="13" t="inlineStr"/>
    </row>
    <row r="30">
      <c r="A30" s="13" t="inlineStr">
        <is>
          <t>Teste Teste</t>
        </is>
      </c>
      <c r="B30" s="13" t="inlineStr">
        <is>
          <t>teste@teste.com.br</t>
        </is>
      </c>
      <c r="C30" s="13" t="inlineStr">
        <is>
          <t>Baixou outro lead magnet</t>
        </is>
      </c>
      <c r="D30" s="13" t="inlineStr">
        <is>
          <t>36 Skills de SDR para Claude</t>
        </is>
      </c>
      <c r="E30" s="13" t="inlineStr">
        <is>
          <t>VLaVrE</t>
        </is>
      </c>
      <c r="F30" s="13" t="inlineStr">
        <is>
          <t>2026-08-19 13:20</t>
        </is>
      </c>
      <c r="G30" s="13" t="inlineStr">
        <is>
          <t>+5599999999999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4" customWidth="1" min="3" max="3"/>
  </cols>
  <sheetData>
    <row r="1">
      <c r="A1" s="23" t="inlineStr">
        <is>
          <t>Perfil de quem se inscreveu E ja tinha comentado em post nosso</t>
        </is>
      </c>
    </row>
    <row r="2">
      <c r="A2" s="24" t="inlineStr">
        <is>
          <t>Contagens calculadas por formula sobre a aba Inscritos, sempre restritas a Classificacao = Real.</t>
        </is>
      </c>
    </row>
    <row r="4" ht="30" customHeight="1">
      <c r="A4" s="11" t="inlineStr">
        <is>
          <t>Corte</t>
        </is>
      </c>
      <c r="B4" s="11" t="inlineStr">
        <is>
          <t>Pessoas</t>
        </is>
      </c>
      <c r="C4" s="11" t="inlineStr">
        <is>
          <t>Leitura</t>
        </is>
      </c>
    </row>
    <row r="5">
      <c r="A5" s="25" t="inlineStr">
        <is>
          <t>Area classificada como vendas</t>
        </is>
      </c>
      <c r="B5" s="26">
        <f>COUNTIFS(Inscritos!$A$2:$A$56,"Real",Inscritos!$B$2:$B$56,"Comentou em post",Inscritos!$U$2:$U$56,"vendas")</f>
        <v/>
      </c>
      <c r="C5" s="27" t="inlineStr">
        <is>
          <t>Classificacao automatica; o titulo real mostra mais - ver coluna Cargo / headline.</t>
        </is>
      </c>
    </row>
    <row r="6">
      <c r="A6" s="25" t="inlineStr">
        <is>
          <t>Senioridade c-level</t>
        </is>
      </c>
      <c r="B6" s="26">
        <f>COUNTIFS(Inscritos!$A$2:$A$56,"Real",Inscritos!$B$2:$B$56,"Comentou em post",Inscritos!$T$2:$T$56,"c-level")</f>
        <v/>
      </c>
      <c r="C6" s="27" t="inlineStr">
        <is>
          <t>Fundadores de operacao enxuta.</t>
        </is>
      </c>
    </row>
    <row r="7">
      <c r="A7" s="25" t="inlineStr">
        <is>
          <t>Senioridade diretoria ou gerencia</t>
        </is>
      </c>
      <c r="B7" s="26">
        <f>COUNTIFS(Inscritos!$A$2:$A$56,"Real",Inscritos!$B$2:$B$56,"Comentou em post",Inscritos!$T$2:$T$56,"diretoria")+COUNTIFS(Inscritos!$A$2:$A$56,"Real",Inscritos!$B$2:$B$56,"Comentou em post",Inscritos!$T$2:$T$56,"gerencia")</f>
        <v/>
      </c>
      <c r="C7" s="27" t="inlineStr">
        <is>
          <t>Camada que decide processo comercial.</t>
        </is>
      </c>
    </row>
    <row r="8">
      <c r="A8" s="25" t="inlineStr">
        <is>
          <t>Senioridade operacional ou coordenacao</t>
        </is>
      </c>
      <c r="B8" s="26">
        <f>COUNTIFS(Inscritos!$A$2:$A$56,"Real",Inscritos!$B$2:$B$56,"Comentou em post",Inscritos!$T$2:$T$56,"operacional")+COUNTIFS(Inscritos!$A$2:$A$56,"Real",Inscritos!$B$2:$B$56,"Comentou em post",Inscritos!$T$2:$T$56,"coordenacao")</f>
        <v/>
      </c>
      <c r="C8" s="27" t="inlineStr">
        <is>
          <t>Quem executa a rotina que o post prometia automatizar.</t>
        </is>
      </c>
    </row>
    <row r="9">
      <c r="A9" s="25" t="inlineStr">
        <is>
          <t>Senioridade nao identificada</t>
        </is>
      </c>
      <c r="B9" s="26">
        <f>COUNTIFS(Inscritos!$A$2:$A$56,"Real",Inscritos!$B$2:$B$56,"Comentou em post",Inscritos!$T$2:$T$56,"desconhecido")</f>
        <v/>
      </c>
      <c r="C9" s="27" t="inlineStr">
        <is>
          <t>Perfil sem cargo estruturado no scrape - da para ler pelo headline.</t>
        </is>
      </c>
    </row>
    <row r="10">
      <c r="A10" s="25" t="inlineStr">
        <is>
          <t>Empresa com mais de 1.000 funcionarios</t>
        </is>
      </c>
      <c r="B10" s="26">
        <f>COUNTIFS(Inscritos!$A$2:$A$56,"Real",Inscritos!$B$2:$B$56,"Comentou em post",Inscritos!$W$2:$W$56,"&gt;1000")</f>
        <v/>
      </c>
      <c r="C10" s="27" t="inlineStr">
        <is>
          <t>HubSpot, Keeta e Cantu - a excecao, nao a regra.</t>
        </is>
      </c>
    </row>
    <row r="11">
      <c r="A11" s="25" t="inlineStr">
        <is>
          <t>Empresa entre 11 e 1.000</t>
        </is>
      </c>
      <c r="B11" s="26">
        <f>COUNTIFS(Inscritos!$A$2:$A$56,"Real",Inscritos!$B$2:$B$56,"Comentou em post",Inscritos!$W$2:$W$56,"&gt;=11")-COUNTIFS(Inscritos!$A$2:$A$56,"Real",Inscritos!$B$2:$B$56,"Comentou em post",Inscritos!$W$2:$W$56,"&gt;1000")</f>
        <v/>
      </c>
      <c r="C11" s="27" t="inlineStr">
        <is>
          <t>HostGator (316), Vkron (27), Senior Mega SPO (11). Faiston (201) aparece como candidato alternativo da colisao "Rafael Silva" - conta na aba Matches, nao aqui.</t>
        </is>
      </c>
    </row>
    <row r="12">
      <c r="A12" s="25" t="inlineStr">
        <is>
          <t>Empresa com 10 ou menos</t>
        </is>
      </c>
      <c r="B12" s="26">
        <f>COUNTIFS(Inscritos!$A$2:$A$56,"Real",Inscritos!$B$2:$B$56,"Comentou em post",Inscritos!$W$2:$W$56,"&gt;0")-COUNTIFS(Inscritos!$A$2:$A$56,"Real",Inscritos!$B$2:$B$56,"Comentou em post",Inscritos!$W$2:$W$56,"&gt;10")</f>
        <v/>
      </c>
      <c r="C12" s="27" t="inlineStr">
        <is>
          <t>Consultores e fundadores solo.</t>
        </is>
      </c>
    </row>
    <row r="13">
      <c r="A13" s="25" t="inlineStr">
        <is>
          <t>Sem empresa identificada</t>
        </is>
      </c>
      <c r="B13" s="26">
        <f>COUNTIFS(Inscritos!$A$2:$A$56,"Real",Inscritos!$B$2:$B$56,"Comentou em post")-COUNTIFS(Inscritos!$A$2:$A$56,"Real",Inscritos!$B$2:$B$56,"Comentou em post",Inscritos!$W$2:$W$56,"&gt;0")</f>
        <v/>
      </c>
      <c r="C13" s="27" t="inlineStr">
        <is>
          <t>Perfil sem vinculo atual no scrape.</t>
        </is>
      </c>
    </row>
    <row r="14">
      <c r="A14" s="25" t="inlineStr">
        <is>
          <t>Qualified pelo score atual</t>
        </is>
      </c>
      <c r="B14" s="26">
        <f>COUNTIFS(Inscritos!$A$2:$A$56,"Real",Inscritos!$B$2:$B$56,"Comentou em post",Inscritos!$AB$2:$AB$56,"qualified")</f>
        <v/>
      </c>
      <c r="C14" s="27" t="inlineStr">
        <is>
          <t>Marina Lemos (95) e Rodrigo Nascimento (55).</t>
        </is>
      </c>
    </row>
    <row r="15">
      <c r="A15" s="25" t="inlineStr">
        <is>
          <t>Disqualified pelo score atual</t>
        </is>
      </c>
      <c r="B15" s="26">
        <f>COUNTIFS(Inscritos!$A$2:$A$56,"Real",Inscritos!$B$2:$B$56,"Comentou em post",Inscritos!$AB$2:$AB$56,"disqualified")</f>
        <v/>
      </c>
      <c r="C15" s="27" t="inlineStr">
        <is>
          <t>Score entre 30 e 45 na maioria.</t>
        </is>
      </c>
    </row>
    <row r="16">
      <c r="A16" s="25" t="inlineStr">
        <is>
          <t>Comentou em 2 ou mais posts</t>
        </is>
      </c>
      <c r="B16" s="26">
        <f>COUNTIFS(Inscritos!$A$2:$A$56,"Real",Inscritos!$B$2:$B$56,"Comentou em post",Inscritos!$AE$2:$AE$56,"&gt;=2")</f>
        <v/>
      </c>
      <c r="C16" s="27" t="inlineStr">
        <is>
          <t>Recorrencia, nao acaso.</t>
        </is>
      </c>
    </row>
    <row r="17">
      <c r="A17" s="25" t="inlineStr">
        <is>
          <t>Tambem baixou outro lead magnet</t>
        </is>
      </c>
      <c r="B17" s="26">
        <f>COUNTIFS(Inscritos!$A$2:$A$56,"Real",Inscritos!$B$2:$B$56,"Comentou em post",Inscritos!$AJ$2:$AJ$56,"&gt;0")</f>
        <v/>
      </c>
      <c r="C17" s="27" t="inlineStr">
        <is>
          <t>Comentou E baixou material antes: o sinal mais forte de intencao que temos.</t>
        </is>
      </c>
    </row>
    <row r="19">
      <c r="A19" s="8" t="inlineStr">
        <is>
          <t>A TENSAO QUE VALE DECIDIR</t>
        </is>
      </c>
      <c r="B19" s="9" t="n"/>
      <c r="C19" s="9" t="n"/>
    </row>
    <row r="20" ht="76" customHeight="1">
      <c r="A20" s="10" t="inlineStr">
        <is>
          <t>Quase todo mundo que comentou, voltou e baixou material de novo esta marcado como disqualified, com score entre 30 e 45. Quem responde a esse tema e operador de vendas em empresa pequena ou media - SDR, inside sales, sales ops, consultor solo, fundador de time de 2 a 30 pessoas. E o mesmo publico do post de 11/08 sobre rotina de SDR, que voltou agora. Se esse perfil e ICP, o score precisa parar de puni-lo. Se nao e, a pauta que mais engaja e a que menos vende - e isso e decisao de conteudo, nao de dado.</t>
        </is>
      </c>
    </row>
  </sheetData>
  <mergeCells count="1">
    <mergeCell ref="A20:C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17" customWidth="1" min="4" max="4"/>
    <col width="17" customWidth="1" min="5" max="5"/>
    <col width="72" customWidth="1" min="6" max="6"/>
  </cols>
  <sheetData>
    <row r="1">
      <c r="A1" s="23" t="inlineStr">
        <is>
          <t>Inscritos com e-mail corporativo e sem perfil de LinkedIn na base</t>
        </is>
      </c>
    </row>
    <row r="2">
      <c r="A2" s="24" t="inlineStr">
        <is>
          <t>O dominio entrega a empresa. Caminho mais curto para nome novo com contexto.</t>
        </is>
      </c>
    </row>
    <row r="4" ht="30" customHeight="1">
      <c r="A4" s="11" t="inlineStr">
        <is>
          <t>Nome</t>
        </is>
      </c>
      <c r="B4" s="11" t="inlineStr">
        <is>
          <t>E-mail</t>
        </is>
      </c>
      <c r="C4" s="11" t="inlineStr">
        <is>
          <t>Dominio</t>
        </is>
      </c>
      <c r="D4" s="11" t="inlineStr">
        <is>
          <t>Telefone</t>
        </is>
      </c>
      <c r="E4" s="11" t="inlineStr">
        <is>
          <t>Inscrito em</t>
        </is>
      </c>
      <c r="F4" s="11" t="inlineStr">
        <is>
          <t>Observacao</t>
        </is>
      </c>
    </row>
    <row r="5">
      <c r="A5" s="13" t="inlineStr">
        <is>
          <t>Marina Medeiros</t>
        </is>
      </c>
      <c r="B5" s="13" t="inlineStr">
        <is>
          <t>marina.medeiros@aurum.com.br</t>
        </is>
      </c>
      <c r="C5" s="13" t="inlineStr">
        <is>
          <t>aurum.com.br</t>
        </is>
      </c>
      <c r="D5" s="13" t="inlineStr">
        <is>
          <t>+5548998021913</t>
        </is>
      </c>
      <c r="E5" s="13" t="inlineStr">
        <is>
          <t>2026-08-25 13:07</t>
        </is>
      </c>
      <c r="F5" s="22" t="inlineStr"/>
    </row>
    <row r="6">
      <c r="A6" s="13" t="inlineStr">
        <is>
          <t>Carolina Pereira</t>
        </is>
      </c>
      <c r="B6" s="13" t="inlineStr">
        <is>
          <t>carolina.botelho@braziljournal.com</t>
        </is>
      </c>
      <c r="C6" s="13" t="inlineStr">
        <is>
          <t>braziljournal.com</t>
        </is>
      </c>
      <c r="D6" s="13" t="inlineStr">
        <is>
          <t>+5511991375461</t>
        </is>
      </c>
      <c r="E6" s="13" t="inlineStr">
        <is>
          <t>2026-08-26 14:15</t>
        </is>
      </c>
      <c r="F6" s="22" t="inlineStr"/>
    </row>
    <row r="7">
      <c r="A7" s="13" t="inlineStr">
        <is>
          <t>Marina Costa</t>
        </is>
      </c>
      <c r="B7" s="13" t="inlineStr">
        <is>
          <t>marina@buscaepi.com</t>
        </is>
      </c>
      <c r="C7" s="13" t="inlineStr">
        <is>
          <t>buscaepi.com</t>
        </is>
      </c>
      <c r="D7" s="13" t="inlineStr">
        <is>
          <t>+5561982004620</t>
        </is>
      </c>
      <c r="E7" s="13" t="inlineStr">
        <is>
          <t>2026-08-25 13:11</t>
        </is>
      </c>
      <c r="F7" s="22" t="inlineStr"/>
    </row>
    <row r="8">
      <c r="A8" s="13" t="inlineStr">
        <is>
          <t>Mario Diqs</t>
        </is>
      </c>
      <c r="B8" s="13" t="inlineStr">
        <is>
          <t>mario@caju.com.br</t>
        </is>
      </c>
      <c r="C8" s="13" t="inlineStr">
        <is>
          <t>caju.com.br</t>
        </is>
      </c>
      <c r="D8" s="13" t="inlineStr">
        <is>
          <t>+5582999999999</t>
        </is>
      </c>
      <c r="E8" s="13" t="inlineStr">
        <is>
          <t>2026-08-25 21:43</t>
        </is>
      </c>
      <c r="F8" s="22" t="inlineStr">
        <is>
          <t>Telefone aparenta ser falso.</t>
        </is>
      </c>
    </row>
    <row r="9">
      <c r="A9" s="13" t="inlineStr">
        <is>
          <t>Ricardo Rosa</t>
        </is>
      </c>
      <c r="B9" s="13" t="inlineStr">
        <is>
          <t>ricardo@devotum.com.br</t>
        </is>
      </c>
      <c r="C9" s="13" t="inlineStr">
        <is>
          <t>devotum.com.br</t>
        </is>
      </c>
      <c r="D9" s="13" t="inlineStr">
        <is>
          <t>+5547992602655</t>
        </is>
      </c>
      <c r="E9" s="13" t="inlineStr">
        <is>
          <t>2026-08-25 15:12</t>
        </is>
      </c>
      <c r="F9" s="22" t="inlineStr"/>
    </row>
    <row r="10">
      <c r="A10" s="13" t="inlineStr">
        <is>
          <t>Gage Batista</t>
        </is>
      </c>
      <c r="B10" s="13" t="inlineStr">
        <is>
          <t>bfagner@hotmail.con</t>
        </is>
      </c>
      <c r="C10" s="13" t="inlineStr">
        <is>
          <t>hotmail.con</t>
        </is>
      </c>
      <c r="D10" s="13" t="inlineStr">
        <is>
          <t>+5571992867755</t>
        </is>
      </c>
      <c r="E10" s="13" t="inlineStr">
        <is>
          <t>2026-08-25 15:59</t>
        </is>
      </c>
      <c r="F10" s="22" t="inlineStr">
        <is>
          <t>Erro de digitacao de hotmail.com - classificado como corporativo por engano.</t>
        </is>
      </c>
    </row>
    <row r="11">
      <c r="A11" s="13" t="inlineStr">
        <is>
          <t>Arielle Domanski</t>
        </is>
      </c>
      <c r="B11" s="13" t="inlineStr">
        <is>
          <t>arielle.domanski@madeiramadeira.com.br</t>
        </is>
      </c>
      <c r="C11" s="13" t="inlineStr">
        <is>
          <t>madeiramadeira.com.br</t>
        </is>
      </c>
      <c r="D11" s="13" t="inlineStr">
        <is>
          <t>+5541996682298</t>
        </is>
      </c>
      <c r="E11" s="13" t="inlineStr">
        <is>
          <t>2026-08-25 19:05</t>
        </is>
      </c>
      <c r="F11" s="22" t="inlineStr"/>
    </row>
    <row r="12">
      <c r="A12" s="13" t="inlineStr">
        <is>
          <t>Andre Sousa</t>
        </is>
      </c>
      <c r="B12" s="13" t="inlineStr">
        <is>
          <t>andre.sousa@nilg.ai</t>
        </is>
      </c>
      <c r="C12" s="13" t="inlineStr">
        <is>
          <t>nilg.ai</t>
        </is>
      </c>
      <c r="D12" s="13" t="inlineStr">
        <is>
          <t>+351938016732</t>
        </is>
      </c>
      <c r="E12" s="13" t="inlineStr">
        <is>
          <t>2026-08-26 07:48</t>
        </is>
      </c>
      <c r="F12" s="22" t="inlineStr"/>
    </row>
    <row r="13">
      <c r="A13" s="13" t="inlineStr">
        <is>
          <t>Matheus Mazza</t>
        </is>
      </c>
      <c r="B13" s="13" t="inlineStr">
        <is>
          <t>matheus.mazza@rabbot.co</t>
        </is>
      </c>
      <c r="C13" s="13" t="inlineStr">
        <is>
          <t>rabbot.co</t>
        </is>
      </c>
      <c r="D13" s="13" t="inlineStr">
        <is>
          <t>+5511965810818</t>
        </is>
      </c>
      <c r="E13" s="13" t="inlineStr">
        <is>
          <t>2026-08-26 09:40</t>
        </is>
      </c>
      <c r="F13" s="22" t="inlineStr"/>
    </row>
    <row r="14">
      <c r="A14" s="13" t="inlineStr">
        <is>
          <t>Eduardo Moura</t>
        </is>
      </c>
      <c r="B14" s="13" t="inlineStr">
        <is>
          <t>eduardo@savessaude.com.br</t>
        </is>
      </c>
      <c r="C14" s="13" t="inlineStr">
        <is>
          <t>savessaude.com.br</t>
        </is>
      </c>
      <c r="D14" s="13" t="inlineStr">
        <is>
          <t>+5511978253731</t>
        </is>
      </c>
      <c r="E14" s="13" t="inlineStr">
        <is>
          <t>2026-08-25 14:03</t>
        </is>
      </c>
      <c r="F14" s="22" t="inlineStr"/>
    </row>
    <row r="15">
      <c r="A15" s="13" t="inlineStr">
        <is>
          <t>Victor Dias</t>
        </is>
      </c>
      <c r="B15" s="13" t="inlineStr">
        <is>
          <t>kettle_pessimist235@simplelogin.com</t>
        </is>
      </c>
      <c r="C15" s="13" t="inlineStr">
        <is>
          <t>simplelogin.com</t>
        </is>
      </c>
      <c r="D15" s="13" t="inlineStr">
        <is>
          <t>+5591935009813</t>
        </is>
      </c>
      <c r="E15" s="13" t="inlineStr">
        <is>
          <t>2026-08-26 08:13</t>
        </is>
      </c>
      <c r="F15" s="22" t="inlineStr">
        <is>
          <t>Servico de e-mail descartavel; nao identifica empresa.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96" customWidth="1" min="4" max="4"/>
  </cols>
  <sheetData>
    <row r="1">
      <c r="A1" s="23" t="inlineStr">
        <is>
          <t>Por que o post de 25/08 nao entrou na base</t>
        </is>
      </c>
    </row>
    <row r="2">
      <c r="A2" s="24" t="inlineStr">
        <is>
          <t>Evidencia lida de public.collection_runs e de cron.job no Supabase, em 26/08/2026.</t>
        </is>
      </c>
    </row>
    <row r="4" ht="30" customHeight="1">
      <c r="A4" s="11" t="inlineStr">
        <is>
          <t>Quando</t>
        </is>
      </c>
      <c r="B4" s="11" t="inlineStr">
        <is>
          <t>Coletor</t>
        </is>
      </c>
      <c r="C4" s="11" t="inlineStr">
        <is>
          <t>Resultado</t>
        </is>
      </c>
      <c r="D4" s="11" t="inlineStr">
        <is>
          <t>O que aconteceu</t>
        </is>
      </c>
    </row>
    <row r="5" ht="46" customHeight="1">
      <c r="A5" s="13" t="inlineStr">
        <is>
          <t>25/08 09:30 UTC</t>
        </is>
      </c>
      <c r="B5" s="13" t="inlineStr">
        <is>
          <t>collect-linkedin</t>
        </is>
      </c>
      <c r="C5" s="13" t="inlineStr">
        <is>
          <t>sucesso - 7 itens</t>
        </is>
      </c>
      <c r="D5" s="22" t="inlineStr">
        <is>
          <t>Rodou no horario e funcionou. O post de rotinas so subiu por volta de 12:00 UTC (a primeira inscricao no Tally e 12:04), ou seja, depois desta coleta.</t>
        </is>
      </c>
    </row>
    <row r="6" ht="46" customHeight="1">
      <c r="A6" s="13" t="inlineStr">
        <is>
          <t>25/08 14:00 UTC</t>
        </is>
      </c>
      <c r="B6" s="13" t="inlineStr">
        <is>
          <t>catch-up</t>
        </is>
      </c>
      <c r="C6" s="13" t="inlineStr">
        <is>
          <t>nao disparou</t>
        </is>
      </c>
      <c r="D6" s="22" t="inlineStr">
        <is>
          <t>O job de recuperacao so roda se NAO houve coleta bem-sucedida nas ultimas 12h. A de 09:30 tinha dado certo, entao ele corretamente pulou - e o post perdeu a segunda chance do dia.</t>
        </is>
      </c>
    </row>
    <row r="7" ht="46" customHeight="1">
      <c r="A7" s="13" t="inlineStr">
        <is>
          <t>26/08 09:00 UTC</t>
        </is>
      </c>
      <c r="B7" s="13" t="inlineStr">
        <is>
          <t>collect-youtube</t>
        </is>
      </c>
      <c r="C7" s="13" t="inlineStr">
        <is>
          <t>parcial - actor ABORTED</t>
        </is>
      </c>
      <c r="D7" s="22" t="inlineStr">
        <is>
          <t>Primeiro sinal do problema do dia.</t>
        </is>
      </c>
    </row>
    <row r="8" ht="46" customHeight="1">
      <c r="A8" s="13" t="inlineStr">
        <is>
          <t>26/08 09:30 UTC</t>
        </is>
      </c>
      <c r="B8" s="13" t="inlineStr">
        <is>
          <t>collect-linkedin</t>
        </is>
      </c>
      <c r="C8" s="16" t="inlineStr">
        <is>
          <t>FALHOU - 3 contas</t>
        </is>
      </c>
      <c r="D8" s="22" t="inlineStr">
        <is>
          <t>"By launching this job you will exceed your remaining usage of $0.001342. Consider upgrading to a paid plan". Credito da Apify esgotado. Era esta rodada que pegaria o post.</t>
        </is>
      </c>
    </row>
    <row r="9" ht="46" customHeight="1">
      <c r="A9" s="13" t="inlineStr">
        <is>
          <t>26/08 10:00 UTC</t>
        </is>
      </c>
      <c r="B9" s="13" t="inlineStr">
        <is>
          <t>collect-instagram</t>
        </is>
      </c>
      <c r="C9" s="16" t="inlineStr">
        <is>
          <t>FALHOU</t>
        </is>
      </c>
      <c r="D9" s="22" t="inlineStr">
        <is>
          <t>Mesmo erro de credito da Apify.</t>
        </is>
      </c>
    </row>
    <row r="10" ht="46" customHeight="1">
      <c r="A10" s="13" t="inlineStr">
        <is>
          <t>18/08</t>
        </is>
      </c>
      <c r="B10" s="13" t="inlineStr">
        <is>
          <t>todos</t>
        </is>
      </c>
      <c r="C10" s="16" t="inlineStr">
        <is>
          <t>FALHOU - 172 execucoes</t>
        </is>
      </c>
      <c r="D10" s="22" t="inlineStr">
        <is>
          <t>"Monthly usage hard limit exceeded". Voltou a funcionar em 19/08, o que sugere que o ciclo de cobranca da Apify reseta dia 19. Se for isso, sem recarga nada e coletado ate ~19/09.</t>
        </is>
      </c>
    </row>
    <row r="11" ht="46" customHeight="1">
      <c r="A11" s="13" t="inlineStr">
        <is>
          <t>Continuo</t>
        </is>
      </c>
      <c r="B11" s="13" t="inlineStr">
        <is>
          <t>prospect-enrich-drain</t>
        </is>
      </c>
      <c r="C11" s="13" t="inlineStr">
        <is>
          <t>144 execucoes por dia</t>
        </is>
      </c>
      <c r="D11" s="22" t="inlineStr">
        <is>
          <t>Roda a cada 10 minutos enriquecendo leads para prospeccao, na MESMA conta Apify. E o maior consumidor: o enriquecimento de prospeccao come o orcamento da coleta de conteudo.</t>
        </is>
      </c>
    </row>
    <row r="13">
      <c r="A13" s="8" t="inlineStr">
        <is>
          <t>O QUE ISSO CUSTA NO CRUZAMENTO</t>
        </is>
      </c>
      <c r="B13" s="9" t="n"/>
      <c r="C13" s="9" t="n"/>
      <c r="D13" s="9" t="n"/>
    </row>
    <row r="14" ht="76" customHeight="1">
      <c r="A14" s="10" t="inlineStr">
        <is>
          <t>Sem o post em content_posts nao existe linha em post_lead_magnets ligando o post ao formulario xX8rVJ - e esse vinculo e a evidencia mais forte do matcher (confianca 0,96). E por isso que 12 nomes ficaram em REVIEW em vez de confirmados. Dois pontos a mais: o CTA ROTINAS nao existe no mapa CTA_TO_TALLY_FORM (leadMagnets.ts), e o post nao pediu comentario, entao provavelmente vai entrar sem cta_keyword - o vinculo tera de ser inserido a mao em post_lead_magnets, que e a fonte da verdade em producao.</t>
        </is>
      </c>
    </row>
    <row r="16">
      <c r="A16" s="28" t="inlineStr">
        <is>
          <t>PARA DESTRAVAR</t>
        </is>
      </c>
    </row>
    <row r="17" ht="118" customHeight="1">
      <c r="A17" s="10" t="inlineStr">
        <is>
          <t>1. Recarregar a Apify ou esperar o reset do ciclo - e decisao de custo, nao tem jeito tecnico.
2. Enquanto isso, a prospeccao deste post nao depende da coleta: as inscricoes do Tally ja trazem nome, e-mail e telefone (aba Inscritos).
3. Quando o post entrar, inserir o vinculo em post_lead_magnets e rodar de novo o cruzamento - boa parte dos REVIEW deve virar confirmado sozinha.
4. Vale separar o orcamento de prospeccao do de conteudo, ou o enriquecimento vai continuar derrubando a coleta todo mes.
5. Vale rodar o coletor de LinkedIn duas vezes ao dia: com uma rodada as 09:30 UTC, um post publicado ao meio-dia espera 21h para ser capturado.</t>
        </is>
      </c>
    </row>
  </sheetData>
  <mergeCells count="2">
    <mergeCell ref="A17:D1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2026-08-26T15:23:00Z</dcterms:created>
  <dcterms:modified xsi:type="dcterms:W3CDTF">2026-08-26T15:23:01Z</dcterms:modified>
</cp:coreProperties>
</file>